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E:\ETL_economy_data\"/>
    </mc:Choice>
  </mc:AlternateContent>
  <xr:revisionPtr revIDLastSave="0" documentId="8_{4FCE4F21-159D-4FD6-A005-65AA0E35AE5C}" xr6:coauthVersionLast="47" xr6:coauthVersionMax="47" xr10:uidLastSave="{00000000-0000-0000-0000-000000000000}"/>
  <bookViews>
    <workbookView xWindow="9990" yWindow="375" windowWidth="28755" windowHeight="20505" firstSheet="1" activeTab="1" xr2:uid="{76522402-3BFF-45D5-88AC-03253C30AAAB}"/>
  </bookViews>
  <sheets>
    <sheet name="Datasets currently on Metabase" sheetId="1" r:id="rId1"/>
    <sheet name="Economy GR" sheetId="3" r:id="rId2"/>
    <sheet name="Economy Cy" sheetId="4" r:id="rId3"/>
    <sheet name="Workflow" sheetId="5" r:id="rId4"/>
  </sheets>
  <definedNames>
    <definedName name="_xlnm._FilterDatabase" localSheetId="0" hidden="1">'Datasets currently on Metabase'!$A$1:$P$58</definedName>
    <definedName name="_xlnm._FilterDatabase" localSheetId="2" hidden="1">'Economy Cy'!$A$1:$T$21</definedName>
    <definedName name="_xlnm._FilterDatabase" localSheetId="1" hidden="1">'Economy GR'!$A$3:$T$57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 i="5" l="1"/>
  <c r="A5" i="5" s="1"/>
  <c r="A6" i="5" s="1"/>
</calcChain>
</file>

<file path=xl/sharedStrings.xml><?xml version="1.0" encoding="utf-8"?>
<sst xmlns="http://schemas.openxmlformats.org/spreadsheetml/2006/main" count="1485" uniqueCount="558">
  <si>
    <t>Engagement Letter Section</t>
  </si>
  <si>
    <t>Indicator</t>
  </si>
  <si>
    <t>Definition</t>
  </si>
  <si>
    <t>Frequency</t>
  </si>
  <si>
    <t>Source</t>
  </si>
  <si>
    <t>Status</t>
  </si>
  <si>
    <t xml:space="preserve">From </t>
  </si>
  <si>
    <t xml:space="preserve">To </t>
  </si>
  <si>
    <t>Latest update
(Source)</t>
  </si>
  <si>
    <t>Additional Comments</t>
  </si>
  <si>
    <t>1.1.1 GDP</t>
  </si>
  <si>
    <t>GDP growth</t>
  </si>
  <si>
    <t>The GDP growth rate, measured over specified time periods, indicating the economic expansion or contraction within those intervals.</t>
  </si>
  <si>
    <t>Quarterly</t>
  </si>
  <si>
    <t>ELSTAT</t>
  </si>
  <si>
    <t>Available</t>
  </si>
  <si>
    <t>Q1 2019</t>
  </si>
  <si>
    <t>Q1 2023</t>
  </si>
  <si>
    <t>Q3 2023</t>
  </si>
  <si>
    <t>Data update in progress</t>
  </si>
  <si>
    <t>Sectorial distributions</t>
  </si>
  <si>
    <t>-</t>
  </si>
  <si>
    <t>Annually</t>
  </si>
  <si>
    <t>Pending</t>
  </si>
  <si>
    <t>https://wirecyprus.atlassian.net/browse/WIRE-1305</t>
  </si>
  <si>
    <t>1.1.2 Employment and Unemployment</t>
  </si>
  <si>
    <t>Workforce division</t>
  </si>
  <si>
    <t>The categorization of individuals aged 15–74 years into employed, unemployed, and inactive groups</t>
  </si>
  <si>
    <t>Monthly</t>
  </si>
  <si>
    <t>Wage growth</t>
  </si>
  <si>
    <t>https://wirecyprus.atlassian.net/browse/WIRE-1330</t>
  </si>
  <si>
    <t>1.1.3 Trade Dynamics</t>
  </si>
  <si>
    <t>International trade balance</t>
  </si>
  <si>
    <t>The total value of imports and exports, with the balance representing the difference between imports and exports.</t>
  </si>
  <si>
    <t>Key partners</t>
  </si>
  <si>
    <t>Data uploading in progress</t>
  </si>
  <si>
    <t>Primary traded goods</t>
  </si>
  <si>
    <t>1.1.4 FDI</t>
  </si>
  <si>
    <t>Total and top 3 sectors</t>
  </si>
  <si>
    <t>The total foreign direct investment (FDI) in Greece and its distribution among the top three sectors: Real Estate, Financial and Insurance, and Manufacturing.</t>
  </si>
  <si>
    <t>Bank of Greece</t>
  </si>
  <si>
    <t>Total and top 3 countries</t>
  </si>
  <si>
    <t>The total foreign direct investment (FDI) in Greece and its distribution from the top three contributing countries: the Netherlands, Cyprus, and Germany.</t>
  </si>
  <si>
    <t>1.1.5 Inflation and Interest Rates</t>
  </si>
  <si>
    <t>Consumer price index</t>
  </si>
  <si>
    <t>A measure of the general level of prices for goods and services purchased by the average Greek household, indexed to the base year of 2015 with a value of 100.0.</t>
  </si>
  <si>
    <t>Housing &amp; Consumer Loans</t>
  </si>
  <si>
    <t>The monthly issuance of new loans in Greece, segmented into housing and consumer loans, to monitor lending activities.</t>
  </si>
  <si>
    <t>Interest rates</t>
  </si>
  <si>
    <t>Monthly interest rates for consumer and housing loans in Greece, presented as percentages to indicate the cost of borrowing for each loan type.</t>
  </si>
  <si>
    <t>1.1.6  Household Finances</t>
  </si>
  <si>
    <t>Gross savings</t>
  </si>
  <si>
    <t>The measure of gross savings over time, calculated as the difference between the income earned by residents and their consumption expenditures, according to national accounts.</t>
  </si>
  <si>
    <t>Disposable gross income</t>
  </si>
  <si>
    <t>The total income available to households after deducting taxes, social contributions, and other deductions, indicating the net amount available for spending or saving.</t>
  </si>
  <si>
    <t>1.1.7 Trade and Service Indices</t>
  </si>
  <si>
    <t>Services turnover index</t>
  </si>
  <si>
    <t xml:space="preserve">The total values invoiced by the observation unit during the reference period, corresponding to market sales of goods or services to third parties. It includes all charges passed on to the customer, such as transport and packaging, even if these are listed separately on the invoice. Turnover excludes VAT, any similar deductible taxes directly linked to turnover, and all duties and taxes on the goods or services invoiced by the enterprises. The base year is 2015, with an index value of 100.0. </t>
  </si>
  <si>
    <t>Q2 2023</t>
  </si>
  <si>
    <t>Retail turnover index</t>
  </si>
  <si>
    <t>The total amounts invoiced by the enterprise during the reference period, corresponding to the resale of goods without further transformation. The data reflect actual sales, both retail and wholesale, excluding VAT but including other duties and taxes on the goods. The base year is 2015, with an index value of 100.0.</t>
  </si>
  <si>
    <t>Motors trade turnover index</t>
  </si>
  <si>
    <t>A measure in value terms of the activity of the motor trade sector. Turnover excludes VAT and includes totals invoiced by the enterprise during the reference period (quarter), corresponding to sales of goods and services to third parties. The base year is 2015, with an index value of 100.0.</t>
  </si>
  <si>
    <t>Wholesales turnover index</t>
  </si>
  <si>
    <t>A measure in value terms of the activity of the wholesale trade market. Turnover excludes VAT and includes totals invoiced by the enterprise during the reference period (month/quarter), corresponding to sales of goods or services to third parties. The base year is 2015, with an index value of 100.0.</t>
  </si>
  <si>
    <t>1.1.8 Building and Construction</t>
  </si>
  <si>
    <t>Building construction index</t>
  </si>
  <si>
    <t>Compares the magnitude (volume) of the current quarter's output at any given time with the corresponding figure for a given base period. The base year is established as 2015, with an index value of 100.0.</t>
  </si>
  <si>
    <t>1.2.1 Production Index in Construction</t>
  </si>
  <si>
    <t>Production index</t>
  </si>
  <si>
    <t>General Production Index: Measures the total production within the construction industry, encompassing all project types, including buildings and infrastructure.
Production Index for Building Construction: Specifically focuses on building projects, ranging from commercial to residential.
Production Index for Civil Engineering: Deals with larger infrastructure projects.
The base year for these indices is 2015, with an index value set at 100.0.</t>
  </si>
  <si>
    <t>1.2.2 Cost Components Index for New Residential Buildings</t>
  </si>
  <si>
    <t>Cost index</t>
  </si>
  <si>
    <t>The evolution of costs incurred by the constructor of a relatively "standardized" building (apartment building), calculated based on prices paid for material, labor, and other expenses. It records the historical change in prices of inflows for the construction of new residential buildings and comprises two subindices:
Index of Material Cost for the Construction of New Residential Buildings
Index of Labour Prices or Labour Cost for the Construction of New Residential Buildings</t>
  </si>
  <si>
    <t>1.2.3 Monthly Private Building Insights</t>
  </si>
  <si>
    <t>Building permits</t>
  </si>
  <si>
    <t>The total number of building permits issued over specified time periods.</t>
  </si>
  <si>
    <t>Floor space and volume</t>
  </si>
  <si>
    <t>The area in square meters and the volume in cubic meters of the building permits issued.</t>
  </si>
  <si>
    <t>1.2.4 Regional Building Activity</t>
  </si>
  <si>
    <t>Number of dwellings, broken down by the number of rooms</t>
  </si>
  <si>
    <t>https://wirecyprus.atlassian.net/browse/WIRE-1306</t>
  </si>
  <si>
    <t>Summary of new constructions by region</t>
  </si>
  <si>
    <t>Key information on new construction projects by region, including the number of new constructions, total storeys, total area in square meters, and total volume in cubic meters for each region.</t>
  </si>
  <si>
    <t>Building permits and volume by area type</t>
  </si>
  <si>
    <t>The number of building permits and the volume, categorized by area type, including rural, suburban, and urban areas.</t>
  </si>
  <si>
    <t>1.2.5 Financing</t>
  </si>
  <si>
    <t>New housing loans - Interest rate</t>
  </si>
  <si>
    <t>This includes interest rates on euro-denominated loans. It specifically covers banking business with households (including private non-profit institutions serving households, such as clubs and political parties) and non-financial corporations resident in Greece or in the other 11 euro area Member States, excluding other customer segments.</t>
  </si>
  <si>
    <t>New housing loans - Amount</t>
  </si>
  <si>
    <t>This includes the values of euro-denominated loans, focusing on transactions with households (including private non-profit institutions that serve households like clubs and political parties) and non-financial corporations based in Greece or the 11 other euro area Member States, rather than all customer types.</t>
  </si>
  <si>
    <t>1.2.6 Demographics</t>
  </si>
  <si>
    <t>Age distribution of the 5 most populated regions (Census 2011)</t>
  </si>
  <si>
    <t>The age distribution of the five most populated regions according to the 2011 census. Age groups are categorized as 0-24, 25-64, and 65+.</t>
  </si>
  <si>
    <t>Every 10 years</t>
  </si>
  <si>
    <t>Number of dwellings at Municipality level</t>
  </si>
  <si>
    <t>http://dlib.statistics.gr/portal/page/portal/ESYE/yeararticles?p_topic=10007862&amp;p_cat=10007862&amp;p_catage=2021</t>
  </si>
  <si>
    <t>Data are included in the existing table (Demographic Profile)</t>
  </si>
  <si>
    <t>1.2.7 Residential Property</t>
  </si>
  <si>
    <t>Apartment price index</t>
  </si>
  <si>
    <t>The price index for apartments for the total, Athens, Thessaloniki, other cities, and the rest of Greece. Base year is 2007=100.0.</t>
  </si>
  <si>
    <t>New vs. old apartments</t>
  </si>
  <si>
    <t>The price index for apartments, distinguishing between new (up to 5 years old) and old (over 5 years old) properties. Base year is 2007=100.0.</t>
  </si>
  <si>
    <t>1.2.8 Non-residential Property</t>
  </si>
  <si>
    <t>Office rent index</t>
  </si>
  <si>
    <t>The rent indices, applicable to office and retail uses, represent prime investment property. These indices are valuation-based rather than based on actual transactions. The base year for these indices is 2010.</t>
  </si>
  <si>
    <t>Semi-annual</t>
  </si>
  <si>
    <t>H1 2019</t>
  </si>
  <si>
    <t>H2 2022</t>
  </si>
  <si>
    <t>H1 2023</t>
  </si>
  <si>
    <t>Office price index</t>
  </si>
  <si>
    <t>The price indices, covering office and retail uses, represent prime investment property. They are based on valuations and not actual transactions. The indices have their base year set at 2010.</t>
  </si>
  <si>
    <t>Retail rent index</t>
  </si>
  <si>
    <t>The rent indices for retail and office uses represent prime investment property. These are valuation-based indices and do not reflect actual transactions. The base year is 2010.</t>
  </si>
  <si>
    <t>Retail price index</t>
  </si>
  <si>
    <t>The price indices for retail and office uses represent prime investment property and are based on valuations, not actual transactions. The base year for these indices is 2010.</t>
  </si>
  <si>
    <t>1.2.9 Performance of REITs</t>
  </si>
  <si>
    <t>Hellenic Fund and Asset Management Association</t>
  </si>
  <si>
    <t>H2 2023</t>
  </si>
  <si>
    <t>1.2.10 Transaction Volumes</t>
  </si>
  <si>
    <t>Transactions per municipality</t>
  </si>
  <si>
    <t>The total number of transactions, the total price in millions of euros, and both the average and median prices per municipality.</t>
  </si>
  <si>
    <t>Greek Ministry of Finance</t>
  </si>
  <si>
    <t>Distribution of property types</t>
  </si>
  <si>
    <t xml:space="preserve">The distribution of each property type, expressed as a percentage of the total number of transactions over the contracted years. </t>
  </si>
  <si>
    <t>Transaction volume &amp; value</t>
  </si>
  <si>
    <t>The evolution of the number of transactions and the total price over time.</t>
  </si>
  <si>
    <t>1.2.11 Properties available for sale</t>
  </si>
  <si>
    <t>Properties available for sale per municipality (Foreclosures)</t>
  </si>
  <si>
    <t>This includes the number of properties in foreclosure, their total price in millions of euros, the average price, and the median price per municipality.</t>
  </si>
  <si>
    <t>Weekly</t>
  </si>
  <si>
    <t>Eauctions</t>
  </si>
  <si>
    <t>Properties available for sale per municipality (REOs)</t>
  </si>
  <si>
    <t>This category includes the number of repossessed properties available for sale, their total price in millions of euros, the average price, and the median price per municipality.</t>
  </si>
  <si>
    <t>Banks &amp; NPL Servicers</t>
  </si>
  <si>
    <t>Properties available for sale per municipality (Open market)</t>
  </si>
  <si>
    <t>This involves the number of properties available for sale on the open market (various big real estate agent website), their total price in millions of euros, the average price, and the median price per municipality.</t>
  </si>
  <si>
    <t>Real Estate Agents</t>
  </si>
  <si>
    <t>1.2.13 Investments and Capital Movements</t>
  </si>
  <si>
    <t>Should be extracted from Ed FDI Activity and Ed Residents DI Activity (Section Name -&gt; Construction)</t>
  </si>
  <si>
    <t>1.2.14 Net Capital Inflows</t>
  </si>
  <si>
    <t>Top 5 countries per year</t>
  </si>
  <si>
    <t xml:space="preserve">The top 5 countries with the highest net capital inflows for property acquisitions each year. </t>
  </si>
  <si>
    <t>1.2.15 Residents’ direct investment abroad</t>
  </si>
  <si>
    <t>Residents’ direct investment abroad (by activity)</t>
  </si>
  <si>
    <t>https://wirecyprus.atlassian.net/browse/WIRE-1331</t>
  </si>
  <si>
    <t>Residents’ direct investment abroad (by country)</t>
  </si>
  <si>
    <t>https://wirecyprus.atlassian.net/browse/WIRE-1332</t>
  </si>
  <si>
    <t>1.2.16 &amp; 1.2.17 Non-Residents direct investment in Greece</t>
  </si>
  <si>
    <t>Dashboard pending (Ed Fdi Activity)</t>
  </si>
  <si>
    <t>Dashboard pending (Ed Fdi Country)</t>
  </si>
  <si>
    <t>1.2.18 Residence permits</t>
  </si>
  <si>
    <t>Residence permits applications</t>
  </si>
  <si>
    <t>The distribution of residence permit application statuses, including pending, revoked, rejected, and issued.</t>
  </si>
  <si>
    <t>Ministry of Migration &amp; Asylum</t>
  </si>
  <si>
    <t>Source of applicant</t>
  </si>
  <si>
    <t>The nationalities of applicants for residence permits, categorized as political refugees, third-country nationals, and EU citizens of Greek origin.</t>
  </si>
  <si>
    <t>Top 10 countries with valid permits</t>
  </si>
  <si>
    <t>The top 10 countries with the highest number of valid residence permits.</t>
  </si>
  <si>
    <t>1.2.19 Golden visa</t>
  </si>
  <si>
    <t>Number of permits by type and applicant</t>
  </si>
  <si>
    <t>The distribution of initial and renewal golden visa permits, categorized into investors and their families.</t>
  </si>
  <si>
    <t>Top 10 countries with initial investor permits</t>
  </si>
  <si>
    <t>The top 10 countries with the highest number of initial golden visa permits for investors.</t>
  </si>
  <si>
    <t>Top 10 countries with renewals of investor permits</t>
  </si>
  <si>
    <t>The top 10 countries with the highest number of renewal golden visa permits for investors.</t>
  </si>
  <si>
    <t>1.2.20 Status of golden visa applications</t>
  </si>
  <si>
    <t>Status of visa application by type</t>
  </si>
  <si>
    <t>The distribution of golden visa permit statuses, categorized into initial applications and renewals, highlighting the volume of processed and pending applications in each category.</t>
  </si>
  <si>
    <t>1.2.21 Geographical distribution of issued and pending permits by region</t>
  </si>
  <si>
    <t>Foreign and residents direct investment in construction</t>
  </si>
  <si>
    <t>Foreign direct investment in Greece (by activity)</t>
  </si>
  <si>
    <t>Foreign direct investment in Greece (by country)</t>
  </si>
  <si>
    <t>https://wirecyprus.atlassian.net/browse/WIRE-1372</t>
  </si>
  <si>
    <t>Metabase table</t>
  </si>
  <si>
    <t>Source (website)</t>
  </si>
  <si>
    <t>Gdp Greece</t>
  </si>
  <si>
    <t>https://www.statistics.gr/el/statistics/-/publication/SEL84/-</t>
  </si>
  <si>
    <t>Comments</t>
  </si>
  <si>
    <t>Should be updated, latest dataset (Q4 2023) is available</t>
  </si>
  <si>
    <t>Ed Gva By Sector</t>
  </si>
  <si>
    <t>https://www.statistics.gr/el/statistics/-/publication/SJO02/-</t>
  </si>
  <si>
    <t>Should be updated, latest dataset (Jan 2024) is available</t>
  </si>
  <si>
    <t>Ed Employment</t>
  </si>
  <si>
    <t>Ed Wage Growth Index</t>
  </si>
  <si>
    <t>https://www.statistics.gr/el/statistics/-/publication/DKT08/-</t>
  </si>
  <si>
    <t>No actions, the dataset hasn't been updated</t>
  </si>
  <si>
    <t>Actions</t>
  </si>
  <si>
    <t>Yes</t>
  </si>
  <si>
    <t>No</t>
  </si>
  <si>
    <t>Ed Consumer Price Index</t>
  </si>
  <si>
    <t>https://www.statistics.gr/el/statistics/-/publication/DKT87/-</t>
  </si>
  <si>
    <t>Should be updated, latest dataset (Feb 2024) is available</t>
  </si>
  <si>
    <t>https://www.statistics.gr/el/2021-buildings-census</t>
  </si>
  <si>
    <t>Dataset for 2021, not available yet</t>
  </si>
  <si>
    <t>N/A</t>
  </si>
  <si>
    <t>https://migration.gov.gr/wp-content/uploads/2024/02/%CE%A0%CE%91%CE%A1%CE%91%CE%A1%CE%A4%CE%97%CE%9C%CE%91-%CE%92_%CE%99%CE%B1%CE%BD%CE%BF%CF%85%CE%AC%CF%81%CE%B9%CE%BF%CF%82_2024_%CE%A5%CE%9C%CE%91-GR-%CE%95%CE%BD%CE%B7%CE%BC%CE%B5%CF%81%CF%89%CF%84%CE%B9%CE%BA%CF%8C-%CE%99%CE%B1%CE%BD%CE%BF%CF%85%CE%AC%CF%81%CE%B9%CE%BF%CF%82-%CE%92-%CE%9D%CF%8C%CE%BC%CE%B9%CE%BC%CE%B7-%CE%9C%CE%B5%CF%84%CE%B1%CE%BD%CE%AC%CF%83%CF%84%CE%B5%CF%85%CF%83%CE%B7.pdf</t>
  </si>
  <si>
    <t>Ed Residence Permits Issued</t>
  </si>
  <si>
    <t>Ed Residence Permits Golden Visa</t>
  </si>
  <si>
    <t>Ed Residence Permits Aggregate</t>
  </si>
  <si>
    <t>Ed Residence Permits Top10 Countries</t>
  </si>
  <si>
    <t>Ed Residence Permits Top10 Countries Golden Visa</t>
  </si>
  <si>
    <t>Ed Imports Exports Millions</t>
  </si>
  <si>
    <t>https://www.statistics.gr/el/statistics/-/publication/SFC02/-</t>
  </si>
  <si>
    <t>Ed Key Partners Primary Goods</t>
  </si>
  <si>
    <t>Ed Building Permits</t>
  </si>
  <si>
    <t>https://www.statistics.gr/el/statistics/-/publication/SOP03/-</t>
  </si>
  <si>
    <t>Should be updated, a later dataset is available (Nov 2023)</t>
  </si>
  <si>
    <t>Ed Building Permits By No Of Rooms</t>
  </si>
  <si>
    <t>Ed Geo Distribution Of Issued And Pending Permits</t>
  </si>
  <si>
    <t>https://www.statistics.gr/el/2021-census-res-pop-results</t>
  </si>
  <si>
    <t>Demographic Profile</t>
  </si>
  <si>
    <t>Should be updated.</t>
  </si>
  <si>
    <t>Ed Construction Index</t>
  </si>
  <si>
    <t>https://www.statistics.gr/el/statistics/-/publication/DKT66/-</t>
  </si>
  <si>
    <t>Ed New Residential Building Cost Index</t>
  </si>
  <si>
    <t>Should be updated, a later dataset is available (Q4 2023)</t>
  </si>
  <si>
    <t>https://www.bankofgreece.gr/statistika/agora-akinhtwn/deiktes-timwn-oikistikwn-kai-epaggelmatikwn-akinhtwnwn</t>
  </si>
  <si>
    <t>Ed Apartments Price Index</t>
  </si>
  <si>
    <t>Ed Retail Price Rental Index</t>
  </si>
  <si>
    <t>Ed Office Price Volume Index</t>
  </si>
  <si>
    <t>https://www.bankofgreece.gr/statistika/ekswterikos-tomeas/ameses-ependyseis/roes</t>
  </si>
  <si>
    <t>Ed Fdi Activity</t>
  </si>
  <si>
    <t>Ed Fdi Country</t>
  </si>
  <si>
    <t>There is no updated dataset.</t>
  </si>
  <si>
    <t>Ed Residents DI Activity</t>
  </si>
  <si>
    <t>Ed Residents DI Country</t>
  </si>
  <si>
    <t>Transaction</t>
  </si>
  <si>
    <t>https://webapps.gsis.gr/dsae2/trxregistry/faces/pages/mainmenu/edit.xhtml;jsessionid=Fls9fvD-xez1OJUPGAuIAuLgBU8N5zk90dl4YyHLaEN_wahWYy-9!1622836562</t>
  </si>
  <si>
    <t>Should be updated Jan &amp; Feb 2024 data available</t>
  </si>
  <si>
    <t>Extracted from this table, should be updated.</t>
  </si>
  <si>
    <t>Different tables for each provider</t>
  </si>
  <si>
    <t>Updated daily / Crawlers</t>
  </si>
  <si>
    <t>Different tables for each servicer</t>
  </si>
  <si>
    <t>Eauction</t>
  </si>
  <si>
    <t>https://www.eauction.gr/</t>
  </si>
  <si>
    <t>https://www.bankofgreece.gr/statistika/ekseliksh-daneiwn-kai-kathysterhsewn</t>
  </si>
  <si>
    <t>Ed Loan Interest Rates</t>
  </si>
  <si>
    <t>Ed Loan Amounts Millions</t>
  </si>
  <si>
    <t>Should be updated, latest dataset (Sep 2023) is available</t>
  </si>
  <si>
    <t>A table should be created.</t>
  </si>
  <si>
    <t>https://www.statistics.gr/en/statistics/-/publication/DKT45/-</t>
  </si>
  <si>
    <t>Ed Motor Trade Turnover Index</t>
  </si>
  <si>
    <t>Ed Wholesales Turnover Index</t>
  </si>
  <si>
    <t>https://www.statistics.gr/en/statistics/-/publication/DKT42/-</t>
  </si>
  <si>
    <t>Should be updated, latest dataset available (Q4 2023).</t>
  </si>
  <si>
    <t>https://www.statistics.gr/en/statistics/-/publication/DKT39/-</t>
  </si>
  <si>
    <t>Should be updated, latest dataset available (Dec 2023)</t>
  </si>
  <si>
    <t>https://www.ethe.org.gr/index.php?view=aeeapassetcompany&amp;mfCategory=ALL&amp;newmenu=Y&amp;option=com_statistic&amp;lang=en</t>
  </si>
  <si>
    <t>Ed Household Income Allocation</t>
  </si>
  <si>
    <t>https://www.bankofgreece.gr/en/statistics/external-sector/direct-investment/direct-investment---flows</t>
  </si>
  <si>
    <t>Extracted from the relevant tables / should be updated.</t>
  </si>
  <si>
    <t>https://www.bankofgreece.gr/en/statistics/evolution-of-loans-and-non-performing-loans</t>
  </si>
  <si>
    <t>https://www.statistics.gr/en/statistics/-/publication/DKT66/-</t>
  </si>
  <si>
    <t>https://www.statistics.gr/en/statistics/-/publication/DKT54/-</t>
  </si>
  <si>
    <t>Ed Services Sector Turnover Index</t>
  </si>
  <si>
    <t>https://www.statistics.gr/en/statistics/-/publication/SEL30/-</t>
  </si>
  <si>
    <t>Should be updated, a later dataset is available (2023)</t>
  </si>
  <si>
    <t>Jira</t>
  </si>
  <si>
    <t>WIRE-1478</t>
  </si>
  <si>
    <t>Source (table)</t>
  </si>
  <si>
    <t>02. Quarterly GDP - Seasonally adjusted, Current Prices and Chain-linked volumes reference year 2015 (1st Quarter 1995 - 4th Quarter 2023)</t>
  </si>
  <si>
    <t>01A. Employment status and unemployment rate (January 2004 - January 2024)</t>
  </si>
  <si>
    <t>WIRE-1479</t>
  </si>
  <si>
    <t>WIRE-1480</t>
  </si>
  <si>
    <t>Imports-Exports of Goods and Services (1995 - 2023)</t>
  </si>
  <si>
    <t>06. Imports - Arrivals, Exports - Dispatches in Value per Country by Standard International Trade Classification (SITC 1)</t>
  </si>
  <si>
    <t>WIRE-1481</t>
  </si>
  <si>
    <t>WIRE-1482</t>
  </si>
  <si>
    <t>WIRE-1483</t>
  </si>
  <si>
    <t>WIRE-1484</t>
  </si>
  <si>
    <t>It’s the most recent dataset.</t>
  </si>
  <si>
    <t>WIRE-1485</t>
  </si>
  <si>
    <t>WIRE-1486</t>
  </si>
  <si>
    <t>https://www.statistics.gr/el/statistics/-/publication/SEL12/2023</t>
  </si>
  <si>
    <t>A64 Table</t>
  </si>
  <si>
    <t>The dataset is not updated yet.</t>
  </si>
  <si>
    <t>WIRE-1487</t>
  </si>
  <si>
    <t>02. Quarterly rates of change of the turnover indices by activities of the services sector (working day adjusted data) (2015=100,0) (1st Quarter 2010 - 4th Quarter 2023)</t>
  </si>
  <si>
    <t>WIRE-1488</t>
  </si>
  <si>
    <t>Ed Retail Trade Turnover Index
Ed Retail Trade Volume Index</t>
  </si>
  <si>
    <t>01. Turnover Index in Retail Trade (2015=100.0) (Provisional Data) (January 2000 - December 2023)
02. Volume Index in Retail Trade (2015=100.0) (Provisional Data) (January 2000 - December 2023)</t>
  </si>
  <si>
    <t>WIRE-1489
WIRE-1490</t>
  </si>
  <si>
    <t>03. Turnover Index for Motor Trade (2015=100.0) (1st Quarter 2015 - 4th Quarter 2023)</t>
  </si>
  <si>
    <t>WIRE-1491</t>
  </si>
  <si>
    <t>WIRE-1492</t>
  </si>
  <si>
    <t>Refer to the pdf</t>
  </si>
  <si>
    <t>03. Turnover Index in Wholesale Trade (2015=100.0) (1st Quarter 2015 - 4th Quarter 2023)</t>
  </si>
  <si>
    <t>WIRE-1493</t>
  </si>
  <si>
    <t>https://www.statistics.gr/en/statistics/-/publication/DKT63/-</t>
  </si>
  <si>
    <t>WIRE-1494</t>
  </si>
  <si>
    <t>01. Monthly Private Building Activity, number of permits, surface and volume (January 2007 - November 2023)</t>
  </si>
  <si>
    <t>WIRE-1495</t>
  </si>
  <si>
    <t>WIRE-1496</t>
  </si>
  <si>
    <t>04. New dwellings and improvements of dwellings, number of habitable rooms volume and surface thereon, by region and regional unit</t>
  </si>
  <si>
    <t>Ed New Built Properties Per Region</t>
  </si>
  <si>
    <t>01. Νέες οικοδομές, όροφοι, όγκος και επιφάνεια αυτών, κατά περιφέρεια και περιφερειακή ενότητα</t>
  </si>
  <si>
    <t>WIRE-1497</t>
  </si>
  <si>
    <t>Ed New Establishments Building Permits</t>
  </si>
  <si>
    <t>https://www.statistics.gr/en/statistics/-/publication/SOP03/2023-M11</t>
  </si>
  <si>
    <t>16. New establishments, number and volume by category of use and by urban, semi - urban and rural areas on the basis of the number of issued building permits</t>
  </si>
  <si>
    <t>WIRE-1499</t>
  </si>
  <si>
    <t>https://www.bankofgreece.gr/RelatedDocuments/BPM6_FDI_ABROAD_BY_ACTIVITY.xls</t>
  </si>
  <si>
    <t>https://www.bankofgreece.gr/RelatedDocuments/BPM6_FDI_ABROAD_BY_COUNTRY.xls</t>
  </si>
  <si>
    <t>https://www.statistics.gr/en/statistics/-/publication/SEL60/-</t>
  </si>
  <si>
    <t>01. Households accounts by Nuts I, ΙΙ (Provisional Data) (2000 - 2021)</t>
  </si>
  <si>
    <t>WIRE-1500</t>
  </si>
  <si>
    <t>Ed Housing Finances</t>
  </si>
  <si>
    <t>Should be updated, a later dataset is available (Q3 2023)</t>
  </si>
  <si>
    <t>https://www.statistics.gr/en/statistics/-/publication/SEL95/-</t>
  </si>
  <si>
    <t>Quarterly Non-Financial Sector Accounts - Households and Non-Profit Institutions serving Households (S.1M) (Provisional Data) (1st Quarter 1999 - 3rd Quarter 2023)</t>
  </si>
  <si>
    <t>WIRE-1501</t>
  </si>
  <si>
    <t>WIRE-1503</t>
  </si>
  <si>
    <t>WIRE-1505</t>
  </si>
  <si>
    <t>Should be updated, a later dataset is available (H1 2023)</t>
  </si>
  <si>
    <t>WIRE-1506</t>
  </si>
  <si>
    <t>Should be updated, a later dataset is available (1st half of 2023)</t>
  </si>
  <si>
    <t>WIRE-1507</t>
  </si>
  <si>
    <t>WIRE-1508</t>
  </si>
  <si>
    <t>Table 2</t>
  </si>
  <si>
    <t>Tables on Metabase</t>
  </si>
  <si>
    <t>Ed Building Permits By No of Rooms</t>
  </si>
  <si>
    <t>Ed Dwellings Historical Price Index</t>
  </si>
  <si>
    <t>Ed Economic Forecast</t>
  </si>
  <si>
    <t>Ed Fdi Real Estate</t>
  </si>
  <si>
    <t>Ed Geo Distribution of Issued and Pending Permits</t>
  </si>
  <si>
    <t>Ed Gross Fixed Capital Formation</t>
  </si>
  <si>
    <t>Ed Industrial Production Index</t>
  </si>
  <si>
    <t>Ed Residence Permits Application</t>
  </si>
  <si>
    <t>Ed Residence Permits Current</t>
  </si>
  <si>
    <t>Ed Residential Property Appraisals</t>
  </si>
  <si>
    <t>Ed Residents Di By Activity</t>
  </si>
  <si>
    <t>Ed Residents Di By Country</t>
  </si>
  <si>
    <t>Ed Retail Trade Turnover Index</t>
  </si>
  <si>
    <t>Ed Retail Trade Volume Index</t>
  </si>
  <si>
    <t>Ed Tourists Arrivals Revenue</t>
  </si>
  <si>
    <t>WIRE-1489</t>
  </si>
  <si>
    <t>WIRE-1490</t>
  </si>
  <si>
    <t>Update Frequency</t>
  </si>
  <si>
    <t>Jira Story</t>
  </si>
  <si>
    <t>WIRE-1531</t>
  </si>
  <si>
    <t>WIRE-1533</t>
  </si>
  <si>
    <t>WIRE-1534</t>
  </si>
  <si>
    <t>WIRE-1535</t>
  </si>
  <si>
    <t>WIRE-1537</t>
  </si>
  <si>
    <t>WIRE-1539</t>
  </si>
  <si>
    <t>Updated dataset for 2023.</t>
  </si>
  <si>
    <t>WIRE-1540</t>
  </si>
  <si>
    <t>WIRE-1541</t>
  </si>
  <si>
    <t>WIRE-1542</t>
  </si>
  <si>
    <t>WIRE-1544</t>
  </si>
  <si>
    <t>WIRE-1545</t>
  </si>
  <si>
    <t>WIRE-1560</t>
  </si>
  <si>
    <t>WIRE-1561</t>
  </si>
  <si>
    <t>Data Updates per month</t>
  </si>
  <si>
    <t>April</t>
  </si>
  <si>
    <t>May</t>
  </si>
  <si>
    <t>June</t>
  </si>
  <si>
    <t>August</t>
  </si>
  <si>
    <t xml:space="preserve">January </t>
  </si>
  <si>
    <t xml:space="preserve">February </t>
  </si>
  <si>
    <t>March</t>
  </si>
  <si>
    <t xml:space="preserve">July </t>
  </si>
  <si>
    <t>September</t>
  </si>
  <si>
    <t>October</t>
  </si>
  <si>
    <t>November</t>
  </si>
  <si>
    <t xml:space="preserve">December </t>
  </si>
  <si>
    <t>Ed Tourist Arrivals Revenue</t>
  </si>
  <si>
    <t>Wire - 1014</t>
  </si>
  <si>
    <t>Wire - 1477</t>
  </si>
  <si>
    <t>Ed Tourist Arrivals Country</t>
  </si>
  <si>
    <t>Ed Building Permits By District</t>
  </si>
  <si>
    <t>Ed Building Permits By Property Type</t>
  </si>
  <si>
    <t>Ed Construction Index Cy</t>
  </si>
  <si>
    <t>Url</t>
  </si>
  <si>
    <t>https://www.statistics.gr/en/statistics/-/publication/SOP03/-</t>
  </si>
  <si>
    <t>We extract information from the file named: '03. Συγκρίσεις Γενικού Δείκτη Τιμών Καταναλωτή (2020=100,0) (Ιανουαρίου 2001 - Δεκεμβρίου 2024)'</t>
  </si>
  <si>
    <t>Baseline Year</t>
  </si>
  <si>
    <t>Process Description</t>
  </si>
  <si>
    <t>WIRE-1611</t>
  </si>
  <si>
    <t>We extract information from tables 4γ &amp; 4δ of  'Παράρτημα Β'</t>
  </si>
  <si>
    <t>https://migration.gov.gr/en/statistika/</t>
  </si>
  <si>
    <t>We extract information from tables 3 &amp; 4</t>
  </si>
  <si>
    <t xml:space="preserve">Bank of Greece </t>
  </si>
  <si>
    <t>https://www.bankofgreece.gr/statistika/nomismatikh-kai-trapezikh-statistiki/epitokia-katathesewn-kai-daneiwn</t>
  </si>
  <si>
    <t>We extract information from 'Bank interest rates on new euro-denominated deposits and loans vis-à-vis euro area residents (Table 1 and 1a)'</t>
  </si>
  <si>
    <t>https://www.bankofgreece.gr/en/statistics/financial-markets-and-interest-rates/bank-deposit-and-loan-interest-rates</t>
  </si>
  <si>
    <t>We extract information from Table 1</t>
  </si>
  <si>
    <t>We extract information from Table 16</t>
  </si>
  <si>
    <t>We extract information from 'Παράρτημα Β, Table 1'</t>
  </si>
  <si>
    <t>https://migration.gov.gr/statistika/</t>
  </si>
  <si>
    <t>We extract information from 'Παράρτημα Β, Table 4b'</t>
  </si>
  <si>
    <t>We extract information from 'Παράρτημα Β, Table 2a'</t>
  </si>
  <si>
    <t>We extract information from 'Παράρτημα Β, Table 13b'</t>
  </si>
  <si>
    <t>We extract information from 'Παράρτημα Β, Tables 5 &amp; 6'</t>
  </si>
  <si>
    <t>We extract information from 'Παράρτημα Β, Table 3'</t>
  </si>
  <si>
    <t>We extract information from 'Παράρτημα Β, Table 12a &amp; 12b'</t>
  </si>
  <si>
    <t>WIRE-1181</t>
  </si>
  <si>
    <t xml:space="preserve">Not yet available </t>
  </si>
  <si>
    <t>https://www.bankofgreece.gr/en/statistics/real-estate-market/residential-and-commercial-property-price-indices-and-other-short-term-indices</t>
  </si>
  <si>
    <t>We extract information from 'Indices of residential property appraisals with MFI intermediation'</t>
  </si>
  <si>
    <t>We extract information from 'TABLE 1'</t>
  </si>
  <si>
    <t>We extract information from 'TABLE 2'</t>
  </si>
  <si>
    <t>We extract information from Table 2</t>
  </si>
  <si>
    <t>We extract information from Table 'Index of prices of dwellings Historical series'</t>
  </si>
  <si>
    <t>https://www.statistics.gr/en/statistics/-/publication/SEL81/-</t>
  </si>
  <si>
    <t>We extract information from Table  2</t>
  </si>
  <si>
    <t>We extract information through 01. Households accounts by Nuts I, ΙΙ (Provisional Data) (2000 - 2022)</t>
  </si>
  <si>
    <t>We extract information through 'Quarterly Non-Financial Sector Accounts - Households and Non-Profit Institutions serving Households (S.1M) (Provisional Data) (1st Quarter 1999 - 3rd Quarter 2024)'</t>
  </si>
  <si>
    <t>We extract information from both files</t>
  </si>
  <si>
    <t>We extract information  from  Quarterly rates of change of the turnover indices by activities of the services sector (working day adjusted data) (2015=100,0)</t>
  </si>
  <si>
    <t>WIRE-1972</t>
  </si>
  <si>
    <t>Ed Services Sector Turnover Monthly Index</t>
  </si>
  <si>
    <t>Source Tables of the data:  NUMBER_OF_INBOUND_TRAVELLERS_IN_GREECE_BY_COUNTRY_OF_ORIGIN,  RECEIPTS_BY_COUNTRY_OF_ORIGIN</t>
  </si>
  <si>
    <t>https://www.bankofgreece.gr/en/statistics/external-sector/balance-of-payments/travel-services</t>
  </si>
  <si>
    <t>https://www.statistics.gr/en/statistics/-/publication/DKT03/-</t>
  </si>
  <si>
    <t xml:space="preserve">We extract information from Table 4 </t>
  </si>
  <si>
    <t>We extract information from Table 3</t>
  </si>
  <si>
    <t xml:space="preserve">We extract information from both 2 tables </t>
  </si>
  <si>
    <t>https://www.statistics.gr/en/statistics/-/publication/DKT54/2024-Q2</t>
  </si>
  <si>
    <t>We extract information from Table  1</t>
  </si>
  <si>
    <t xml:space="preserve">We extract information from '02. Τριμηνιαίο Ακαθάριστο Εγχώριο Προϊόν - Εποχικά διορθωμένα στοιχεία, Τρέχουσες Τιμές και Αλυσωτοί δείκτες όγκου έτους αναφοράς 2015 (1o Τρίμηνο 1995 - 1o Τρίμηνο 2024)’'  </t>
  </si>
  <si>
    <t>We extract information from  2.pdfs regarding offices</t>
  </si>
  <si>
    <t>We extract information from  2.pdfs regarding retails</t>
  </si>
  <si>
    <t>We extract information from Table: Non resident’s direct investment in Greece by sector of economic activity annual data</t>
  </si>
  <si>
    <t>We extract information from Table: Non resident’s direct investment in Greece by country of origin annual data</t>
  </si>
  <si>
    <t>We extract information from Table:  Non Residents' Direct Investment in Greece in Real Estate: annual data by country</t>
  </si>
  <si>
    <t>We extract information from Ακαθάριστη προστιθέμενη αξία κατά κλάδο (A64) (1995 - 2023)</t>
  </si>
  <si>
    <t>WIRE-1993</t>
  </si>
  <si>
    <t>We extract information from Imports-Exports of Goods and Services (1995 - 2023)</t>
  </si>
  <si>
    <t>We extract information from 06. Imports - Arrivals, Exports - Dispatches in Value per Country by Standard International Trade Classification (SITC 1)</t>
  </si>
  <si>
    <t>We extract information from Resident’s direct investment abroad by country of destination annual data</t>
  </si>
  <si>
    <t>Ed Eu Consumer Confidence Index</t>
  </si>
  <si>
    <t>Eurostat</t>
  </si>
  <si>
    <t>Ed Eu Gdp</t>
  </si>
  <si>
    <t>Ed Eu Harmonized Index Of Consumer Prices</t>
  </si>
  <si>
    <t>Ed Eu Unemployment Rate</t>
  </si>
  <si>
    <t>WIRE-1992</t>
  </si>
  <si>
    <t>https://ec.europa.eu/eurostat/databrowser/view/ei_bssi_m_r2__custom_13564044/default/table?lang=en</t>
  </si>
  <si>
    <t>We extract information from Sentiment indicators - monthly data</t>
  </si>
  <si>
    <t>WIRE-1997</t>
  </si>
  <si>
    <t>Unit of measure: 1. Chain linked volumes, percentage change on previous period ,Chain linked volumes, percentage change compared to same period in previous , 3 . Current prices, million euro,4.Chain linked volumes (2020), million euro</t>
  </si>
  <si>
    <t>https://ec.europa.eu/eurostat/databrowser/view/NAMQ_10_GDP__custom_15422618/default/table?lang=en</t>
  </si>
  <si>
    <t>WIRE-1999</t>
  </si>
  <si>
    <t>WIRE-1998</t>
  </si>
  <si>
    <t>https://ec.europa.eu/eurostat/databrowser/view/PRC_HICP_MANR__custom_3761882/bookmark/table?lang=en&amp;bookmarkId=4ad27e6f-358a-4a3d-82a0-587d69a833eb</t>
  </si>
  <si>
    <t xml:space="preserve">Baseline year </t>
  </si>
  <si>
    <t>Ed Per Day Expenditure of Tourists</t>
  </si>
  <si>
    <t>Ed Monthly Gross Earnings Distribution</t>
  </si>
  <si>
    <t>https://cystatdb.cystat.gov.cy/pxweb/en/8.CYSTAT-DB/8.CYSTAT-DB__Labour%20Cost%20and%20Earnings__Earnings/1110060E.px/</t>
  </si>
  <si>
    <t xml:space="preserve">Cystat </t>
  </si>
  <si>
    <t>WIRE-2011</t>
  </si>
  <si>
    <t>WIRE-2010</t>
  </si>
  <si>
    <t>WIRE-1143</t>
  </si>
  <si>
    <t>WIRE-1021</t>
  </si>
  <si>
    <t>WIRE-2146</t>
  </si>
  <si>
    <t>WIRE-1137</t>
  </si>
  <si>
    <t>WIRE-2008</t>
  </si>
  <si>
    <t>Ed New Loans Millions</t>
  </si>
  <si>
    <t>Central Bank of Cyprus</t>
  </si>
  <si>
    <t>WIRE-2004</t>
  </si>
  <si>
    <t xml:space="preserve">The data are selected from 5 tables:
1) Table 9:  “MFI 1) interest rates on euro-denominated loans (new business) 2) to euro area residents” 
    Loans to households  → Consumer Credit → Floating Rate and up to 1 year initial rate fixation &amp; Annual percentage rate of charge
                                       → Lending for house purchase → Floating Rate and up to 1 year initial rate fixation &amp; Annual percentage rate of charge
  (columns: D,E,F,G )
 2) Table 12: “Volumes of new loans to euro area households1 decomposed into pure new and renegotiated loans”
      Consumer Credit → Pure new loans &amp; Renegotiated loans
      Lending for house purchase → Pure new loans &amp; Renegotiated loans
  (columns: D,E,G,H)
3)Table 6.1 “MFI 1) loans to domestic residents, by institutional sector”
      Other Sectors → Households → Consumer Credit &amp; Housing Loans 
4)Table 6.2 “MFI1) loans to other euro area residents, by institutional sector”
      Other Sectors → Households → Consumer Credit &amp; Housing Loans 
5)Table 6.3 “MFI1) loans to rest of the world residents, by institutional sector”
      Other Sectors → Households → Consumer Credit &amp; Housing Loans 
 </t>
  </si>
  <si>
    <t>Ed Average Monthly Earnings</t>
  </si>
  <si>
    <t>https://cystatdb.cystat.gov.cy/pxweb/el/8.CYSTAT-DB/8.CYSTAT-DB__Labour%20Cost%20and%20Earnings__Earnings/1110010G.px/table/tableViewLayout1/</t>
  </si>
  <si>
    <t>WIRE-2005</t>
  </si>
  <si>
    <t>Ed Gdp Quarterly</t>
  </si>
  <si>
    <t>WIRE-2006</t>
  </si>
  <si>
    <t>Ed Gross Value Added Sector</t>
  </si>
  <si>
    <t>Cystat</t>
  </si>
  <si>
    <t>https://cystatdb.cystat.gov.cy/pxweb/en/8.CYSTAT-DB/8.CYSTAT-DB__National%20Accounts__Annual%20National%20Accounts/0610050E.px/</t>
  </si>
  <si>
    <t>WIRE-2007</t>
  </si>
  <si>
    <t>Ed Total Households Loans Millions</t>
  </si>
  <si>
    <t>https://cystatdb.cystat.gov.cy/pxweb/en/8.CYSTAT-DB/8.CYSTAT-DB__Tourism__Tourists__Monthly/2021010E.px/</t>
  </si>
  <si>
    <t>https://cystatdb.cystat.gov.cy/pxweb/en/8.CYSTAT-DB/8.CYSTAT-DB__Tourism__Revenue%20from%20Tourism__Monthly/2031010E.px/</t>
  </si>
  <si>
    <t>https://cystatdb.cystat.gov.cy/pxweb/en/8.CYSTAT-DB/8.CYSTAT-DB__Construction__Building%20Permits/1440005E.px/</t>
  </si>
  <si>
    <t>https://cystatdb.cystat.gov.cy/pxweb/en/8.CYSTAT-DB/8.CYSTAT-DB__Construction__Building%20Permits/1440011E.px/</t>
  </si>
  <si>
    <t>https://cystatdb.cystat.gov.cy/pxweb/en/8.CYSTAT-DB/8.CYSTAT-DB__Construction__Price%20Index%20of%20Construction%20Materials/1420013E.px/</t>
  </si>
  <si>
    <t>WIRE - 2009</t>
  </si>
  <si>
    <t>Ed Employment Cy</t>
  </si>
  <si>
    <t>Ed Economic Forecast Cy</t>
  </si>
  <si>
    <t>Ed Lro Contracts Of Sale</t>
  </si>
  <si>
    <t>Ed Lro Transfers</t>
  </si>
  <si>
    <t>Ed Residential Price Indices</t>
  </si>
  <si>
    <t>WIRE-1018</t>
  </si>
  <si>
    <t>https://cystatdb.cystat.gov.cy/pxweb/en/8.CYSTAT-DB/8.CYSTAT-DB__Price%20Indices__Consumer%20Price%20Index/0410010E.px/table/tableViewLayout1/</t>
  </si>
  <si>
    <t>WIRE -1139</t>
  </si>
  <si>
    <t xml:space="preserve">WIRE-1016 </t>
  </si>
  <si>
    <t>https://cystatdb.cystat.gov.cy/pxweb/en/8.CYSTAT-DB/8.CYSTAT-DB__Tourism__Revenue%20from%20Tourism__Monthly/2031024E.px/</t>
  </si>
  <si>
    <t>WIRE -1120</t>
  </si>
  <si>
    <t>https://economy-finance.ec.europa.eu/economic-surveillance-eu-economies/cyprus/economic-forecast-cyprus_en</t>
  </si>
  <si>
    <t>WIRE-1138</t>
  </si>
  <si>
    <t>Real Estate Investment Companies</t>
  </si>
  <si>
    <t>WIRE- 2188</t>
  </si>
  <si>
    <t>https://www.centralbank.cy/en/licensing-supervision/banks/aggregate-cyprus-banking-sector-data</t>
  </si>
  <si>
    <t>We extract information from 'Aggregate Cyprus banking sector data (non-performing loans data) with reference date 30 September 2024'…....From row 9 and 33</t>
  </si>
  <si>
    <t>WIRE-1144</t>
  </si>
  <si>
    <t>https://www.centralbank.cy/en/publications/residential-property-price-indices</t>
  </si>
  <si>
    <t xml:space="preserve">We extract information from 'Data Series' </t>
  </si>
  <si>
    <t>Not yet available</t>
  </si>
  <si>
    <t>Ed Eu Economic Sentiment Indicator</t>
  </si>
  <si>
    <t>We extract the data from Eurostat</t>
  </si>
  <si>
    <t>https://ec.europa.eu/eurostat/databrowser/view/teibs010/default/table?lang=en</t>
  </si>
  <si>
    <t>Updated</t>
  </si>
  <si>
    <t>WIRE-2312</t>
  </si>
  <si>
    <t>https://economy-finance.ec.europa.eu/economic-surveillance-eu-economies/greece/economic-forecast-greece_en</t>
  </si>
  <si>
    <t>Ed Travelers Tour Type Greece Quarterly</t>
  </si>
  <si>
    <t>We extract information form Eurostat</t>
  </si>
  <si>
    <t>WIRE-2318</t>
  </si>
  <si>
    <t>To be erased</t>
  </si>
  <si>
    <t>https://ec.europa.eu/eurostat/databrowser/view/UNE_RT_M__custom_13628424/default/table?lang=en\</t>
  </si>
  <si>
    <t>Data Available</t>
  </si>
  <si>
    <t>We extract information from 'New index of apartment prices by geographical area'</t>
  </si>
  <si>
    <t>Ministry of Migration and Asylum</t>
  </si>
  <si>
    <t>We extract the data from the Investment Schedule of each REIC</t>
  </si>
  <si>
    <t>REICs</t>
  </si>
  <si>
    <t>Each REIC has its own website</t>
  </si>
  <si>
    <t>Not Updated</t>
  </si>
  <si>
    <t>We extract informatin from 
02. Price Indices for New Residential Buildings Construction (2021=100.0) (1st Quarter 2000 - 1st Quarter 2025)</t>
  </si>
  <si>
    <t>We extract information from Resident’s direct investment abroad by sector of economic activity annual data</t>
  </si>
  <si>
    <t>Not updated</t>
  </si>
  <si>
    <t>Last data 2015</t>
  </si>
  <si>
    <t>Last data 2022</t>
  </si>
  <si>
    <t>No File</t>
  </si>
  <si>
    <t>https://ec.europa.eu/eurostat/databrowser/view/NAMQ_10_GDP__custom_17586301/default/table</t>
  </si>
  <si>
    <t>We extract information from the file named: '01A. Κατάσταση απασχόλησης και ποσοστό ανεργίας (Ιανουαρίου 2004 - Δεκεμβρίου 2024)'</t>
  </si>
  <si>
    <t>We extract information from the file named: '04. New dwellings and improvements of dwellings, number of habitable rooms volume and surface thereon, by region and regional unit'</t>
  </si>
  <si>
    <t>We extract information from timeseries named: '01. Monthly Private Building Activity, number of permits, surface and volume (January 2007 - October 2024)'</t>
  </si>
  <si>
    <t>Section</t>
  </si>
  <si>
    <t>Subsection</t>
  </si>
  <si>
    <t>Economy</t>
  </si>
  <si>
    <t>Real Estate</t>
  </si>
  <si>
    <t>Country</t>
  </si>
  <si>
    <t>Region</t>
  </si>
  <si>
    <t>Municipalities</t>
  </si>
  <si>
    <t>No Data Available</t>
  </si>
  <si>
    <t>Workflow Updates</t>
  </si>
  <si>
    <t>Update Status</t>
  </si>
  <si>
    <t>Texts</t>
  </si>
  <si>
    <t>Graphs</t>
  </si>
  <si>
    <t>Live</t>
  </si>
  <si>
    <t>Text Updates</t>
  </si>
  <si>
    <t>X</t>
  </si>
  <si>
    <t>Ed New Residential Buildings Work Categories</t>
  </si>
  <si>
    <t>JIRA Ticket</t>
  </si>
  <si>
    <t>Same as 1</t>
  </si>
  <si>
    <t>https://www.statistics.gr/en/statistics/-/publication/DKT21</t>
  </si>
  <si>
    <t>https://www.statistics.gr/en/statistics/-/publication/SFC02</t>
  </si>
  <si>
    <t>https://www.statistics.gr/en/statistics/-/publication/SOP03</t>
  </si>
  <si>
    <t>https://www.statistics.gr/el/statistics/-/publication/SEL12</t>
  </si>
  <si>
    <t>https://www.statistics.gr/en/statistics/-/publication/DKT66</t>
  </si>
  <si>
    <t>s</t>
  </si>
  <si>
    <t>https://www.statistics.gr/en/statistics/-/publication/SOP03/</t>
  </si>
  <si>
    <t>To be updated</t>
  </si>
  <si>
    <t>https://www.centralbank.cy/en/publications/monetary-and-financial-statistics/year-2025</t>
  </si>
  <si>
    <t>https://portal.dls.moi.gov.cy/stats_category/enimerosi/statistika/politirion-engrafon/  
https://portal.dls.moi.gov.cy/stats_category/enimerosi/statistika/poliseon-se-allodapous/</t>
  </si>
  <si>
    <t>https://portal.dls.moi.gov.cy/stats_category/enimerosi/statistika/poliseon/
https://portal.dls.moi.gov.cy/stats_category/enimerosi/statistika/poliseon-se-allodapous/</t>
  </si>
  <si>
    <t>LRO</t>
  </si>
  <si>
    <t>Source data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</si>
</sst>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Aptos Narrow"/>
      <family val="2"/>
      <scheme val="minor"/>
    </font>
    <font>
      <u/>
      <sz val="11"/>
      <color theme="10"/>
      <name val="Aptos Narrow"/>
      <family val="2"/>
      <scheme val="minor"/>
    </font>
    <font>
      <b/>
      <sz val="11"/>
      <color theme="1"/>
      <name val="Aptos Narrow"/>
      <family val="2"/>
      <scheme val="minor"/>
    </font>
    <font>
      <b/>
      <sz val="11"/>
      <color theme="0"/>
      <name val="Aptos"/>
      <family val="2"/>
    </font>
    <font>
      <sz val="11"/>
      <color theme="1"/>
      <name val="Aptos"/>
      <family val="2"/>
    </font>
    <font>
      <sz val="11"/>
      <color rgb="FF000000"/>
      <name val="Aptos"/>
      <family val="2"/>
    </font>
    <font>
      <u/>
      <sz val="11"/>
      <color theme="10"/>
      <name val="Aptos"/>
      <family val="2"/>
    </font>
    <font>
      <sz val="11"/>
      <color rgb="FFFF0000"/>
      <name val="Aptos"/>
      <family val="2"/>
    </font>
    <font>
      <b/>
      <sz val="11"/>
      <color theme="1"/>
      <name val="Aptos"/>
      <family val="2"/>
    </font>
    <font>
      <sz val="11"/>
      <color theme="10"/>
      <name val="Aptos Narrow"/>
      <family val="2"/>
      <scheme val="minor"/>
    </font>
    <font>
      <sz val="11"/>
      <name val="Aptos Narrow"/>
      <family val="2"/>
      <scheme val="minor"/>
    </font>
    <font>
      <sz val="8"/>
      <name val="Aptos Narrow"/>
      <family val="2"/>
      <scheme val="minor"/>
    </font>
    <font>
      <b/>
      <sz val="11"/>
      <color theme="0"/>
      <name val="Aptos Narrow"/>
      <family val="2"/>
      <scheme val="minor"/>
    </font>
  </fonts>
  <fills count="14">
    <fill>
      <patternFill patternType="none"/>
    </fill>
    <fill>
      <patternFill patternType="gray125"/>
    </fill>
    <fill>
      <patternFill patternType="solid">
        <fgColor theme="4"/>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0" tint="-0.14999847407452621"/>
        <bgColor indexed="64"/>
      </patternFill>
    </fill>
    <fill>
      <patternFill patternType="solid">
        <fgColor theme="5" tint="0.79998168889431442"/>
        <bgColor indexed="64"/>
      </patternFill>
    </fill>
    <fill>
      <patternFill patternType="solid">
        <fgColor theme="8" tint="-9.9978637043366805E-2"/>
        <bgColor indexed="64"/>
      </patternFill>
    </fill>
    <fill>
      <patternFill patternType="solid">
        <fgColor rgb="FFFFFFFF"/>
        <bgColor indexed="64"/>
      </patternFill>
    </fill>
    <fill>
      <patternFill patternType="solid">
        <fgColor rgb="FF09A24C"/>
        <bgColor indexed="64"/>
      </patternFill>
    </fill>
    <fill>
      <patternFill patternType="solid">
        <fgColor theme="0"/>
        <bgColor indexed="64"/>
      </patternFill>
    </fill>
    <fill>
      <patternFill patternType="solid">
        <fgColor rgb="FFC00000"/>
        <bgColor indexed="64"/>
      </patternFill>
    </fill>
    <fill>
      <patternFill patternType="solid">
        <fgColor theme="2" tint="-0.249977111117893"/>
        <bgColor indexed="64"/>
      </patternFill>
    </fill>
  </fills>
  <borders count="15">
    <border>
      <left/>
      <right/>
      <top/>
      <bottom/>
      <diagonal/>
    </border>
    <border>
      <left/>
      <right/>
      <top/>
      <bottom style="dotted">
        <color rgb="FFCCCCCC"/>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2">
    <xf numFmtId="0" fontId="0" fillId="0" borderId="0"/>
    <xf numFmtId="0" fontId="1" fillId="0" borderId="0" applyNumberFormat="0" applyFill="0" applyBorder="0" applyAlignment="0" applyProtection="0"/>
  </cellStyleXfs>
  <cellXfs count="107">
    <xf numFmtId="0" fontId="0" fillId="0" borderId="0" xfId="0"/>
    <xf numFmtId="0" fontId="0" fillId="0" borderId="0" xfId="0" applyAlignment="1">
      <alignment vertical="center"/>
    </xf>
    <xf numFmtId="0" fontId="0" fillId="0" borderId="0" xfId="0" applyAlignment="1">
      <alignment horizontal="center" vertical="center"/>
    </xf>
    <xf numFmtId="2" fontId="4" fillId="0" borderId="0" xfId="0" applyNumberFormat="1" applyFont="1" applyAlignment="1">
      <alignment horizontal="left" vertical="center"/>
    </xf>
    <xf numFmtId="0" fontId="4" fillId="3" borderId="0" xfId="0" applyFont="1" applyFill="1" applyAlignment="1">
      <alignment horizontal="left" vertical="center"/>
    </xf>
    <xf numFmtId="0" fontId="5" fillId="0" borderId="0" xfId="0" applyFont="1" applyAlignment="1">
      <alignment horizontal="left" vertical="center"/>
    </xf>
    <xf numFmtId="0" fontId="3" fillId="2" borderId="0" xfId="0" applyFont="1" applyFill="1" applyAlignment="1">
      <alignment horizontal="left" vertical="center"/>
    </xf>
    <xf numFmtId="0" fontId="8" fillId="8" borderId="0" xfId="0" applyFont="1" applyFill="1" applyAlignment="1">
      <alignment horizontal="left" vertical="center"/>
    </xf>
    <xf numFmtId="0" fontId="2" fillId="8" borderId="0" xfId="0" applyFont="1" applyFill="1" applyAlignment="1">
      <alignment horizontal="left" vertical="center"/>
    </xf>
    <xf numFmtId="0" fontId="4" fillId="0" borderId="0" xfId="0" applyFont="1" applyAlignment="1">
      <alignment horizontal="left" vertical="center"/>
    </xf>
    <xf numFmtId="0" fontId="1" fillId="0" borderId="0" xfId="1" applyAlignment="1">
      <alignment horizontal="left" vertical="center"/>
    </xf>
    <xf numFmtId="0" fontId="0" fillId="0" borderId="0" xfId="0" applyAlignment="1">
      <alignment horizontal="left" vertical="center"/>
    </xf>
    <xf numFmtId="0" fontId="6" fillId="0" borderId="0" xfId="1" applyFont="1" applyAlignment="1">
      <alignment horizontal="left" vertical="center"/>
    </xf>
    <xf numFmtId="17" fontId="4" fillId="0" borderId="0" xfId="0" applyNumberFormat="1" applyFont="1" applyAlignment="1">
      <alignment horizontal="left" vertical="center"/>
    </xf>
    <xf numFmtId="0" fontId="7" fillId="0" borderId="0" xfId="0" applyFont="1" applyAlignment="1">
      <alignment horizontal="left" vertical="center"/>
    </xf>
    <xf numFmtId="0" fontId="5" fillId="3" borderId="0" xfId="0" applyFont="1" applyFill="1" applyAlignment="1">
      <alignment horizontal="left" vertical="center"/>
    </xf>
    <xf numFmtId="17" fontId="5" fillId="0" borderId="0" xfId="0" applyNumberFormat="1" applyFont="1" applyAlignment="1">
      <alignment horizontal="left" vertical="center"/>
    </xf>
    <xf numFmtId="0" fontId="5" fillId="0" borderId="0" xfId="0" quotePrefix="1" applyFont="1" applyAlignment="1">
      <alignment horizontal="left" vertical="center"/>
    </xf>
    <xf numFmtId="0" fontId="0" fillId="3" borderId="0" xfId="0" applyFill="1" applyAlignment="1">
      <alignment horizontal="left" vertical="center"/>
    </xf>
    <xf numFmtId="0" fontId="1" fillId="0" borderId="0" xfId="1" applyAlignment="1">
      <alignment vertical="center"/>
    </xf>
    <xf numFmtId="0" fontId="9" fillId="0" borderId="0" xfId="1" applyFont="1" applyAlignment="1">
      <alignment horizontal="left" vertical="center"/>
    </xf>
    <xf numFmtId="0" fontId="1" fillId="9" borderId="1" xfId="1" applyFill="1" applyBorder="1" applyAlignment="1">
      <alignment vertical="center"/>
    </xf>
    <xf numFmtId="0" fontId="10" fillId="0" borderId="0" xfId="1" applyFont="1" applyAlignment="1">
      <alignment horizontal="left" vertical="center"/>
    </xf>
    <xf numFmtId="0" fontId="1" fillId="9" borderId="1" xfId="1" applyFill="1" applyBorder="1" applyAlignment="1">
      <alignment horizontal="left" vertical="center"/>
    </xf>
    <xf numFmtId="0" fontId="0" fillId="0" borderId="2" xfId="0" applyBorder="1" applyAlignment="1">
      <alignment vertical="center"/>
    </xf>
    <xf numFmtId="0" fontId="0" fillId="0" borderId="2" xfId="0" applyBorder="1" applyAlignment="1">
      <alignment horizontal="center" vertical="center"/>
    </xf>
    <xf numFmtId="0" fontId="2" fillId="0" borderId="2" xfId="0" applyFont="1" applyBorder="1" applyAlignment="1">
      <alignment horizontal="center" vertical="center"/>
    </xf>
    <xf numFmtId="0" fontId="1" fillId="0" borderId="2" xfId="1" applyFill="1" applyBorder="1" applyAlignment="1">
      <alignment vertical="center"/>
    </xf>
    <xf numFmtId="0" fontId="0" fillId="0" borderId="2" xfId="0" applyBorder="1" applyAlignment="1">
      <alignment horizontal="left" vertical="center"/>
    </xf>
    <xf numFmtId="0" fontId="12" fillId="10" borderId="2" xfId="0" applyFont="1" applyFill="1" applyBorder="1" applyAlignment="1">
      <alignment horizontal="center" vertical="center"/>
    </xf>
    <xf numFmtId="0" fontId="12" fillId="10" borderId="0" xfId="0" applyFont="1" applyFill="1" applyAlignment="1">
      <alignment horizontal="left" vertical="center"/>
    </xf>
    <xf numFmtId="0" fontId="12" fillId="10" borderId="0" xfId="0" applyFont="1" applyFill="1" applyAlignment="1">
      <alignment horizontal="center" vertical="center"/>
    </xf>
    <xf numFmtId="0" fontId="12" fillId="10" borderId="3" xfId="0" applyFont="1" applyFill="1" applyBorder="1" applyAlignment="1">
      <alignment horizontal="center" vertical="center"/>
    </xf>
    <xf numFmtId="0" fontId="0" fillId="10" borderId="0" xfId="0" applyFill="1" applyAlignment="1">
      <alignment horizontal="center" vertical="center"/>
    </xf>
    <xf numFmtId="16" fontId="0" fillId="0" borderId="2" xfId="0" applyNumberFormat="1" applyBorder="1" applyAlignment="1">
      <alignment horizontal="center" vertical="center"/>
    </xf>
    <xf numFmtId="0" fontId="1" fillId="0" borderId="2" xfId="1" applyBorder="1" applyAlignment="1">
      <alignment vertical="center"/>
    </xf>
    <xf numFmtId="0" fontId="1" fillId="0" borderId="2" xfId="1" applyFill="1" applyBorder="1" applyAlignment="1">
      <alignment horizontal="center" vertical="center"/>
    </xf>
    <xf numFmtId="16" fontId="0" fillId="12" borderId="2" xfId="0" applyNumberFormat="1" applyFill="1" applyBorder="1" applyAlignment="1">
      <alignment horizontal="center" vertical="center"/>
    </xf>
    <xf numFmtId="0" fontId="0" fillId="11" borderId="2" xfId="0" applyFill="1" applyBorder="1" applyAlignment="1">
      <alignment horizontal="left" vertical="center"/>
    </xf>
    <xf numFmtId="0" fontId="0" fillId="11" borderId="2" xfId="0" applyFill="1" applyBorder="1" applyAlignment="1">
      <alignment vertical="center"/>
    </xf>
    <xf numFmtId="0" fontId="0" fillId="11" borderId="2" xfId="0" applyFill="1" applyBorder="1" applyAlignment="1">
      <alignment horizontal="center" vertical="center"/>
    </xf>
    <xf numFmtId="16" fontId="0" fillId="11" borderId="2" xfId="0" applyNumberFormat="1" applyFill="1" applyBorder="1" applyAlignment="1">
      <alignment horizontal="center" vertical="center"/>
    </xf>
    <xf numFmtId="0" fontId="0" fillId="11" borderId="0" xfId="0" applyFill="1" applyAlignment="1">
      <alignment vertical="center"/>
    </xf>
    <xf numFmtId="0" fontId="0" fillId="12" borderId="2" xfId="0" applyFill="1" applyBorder="1" applyAlignment="1">
      <alignment horizontal="left" vertical="center"/>
    </xf>
    <xf numFmtId="0" fontId="0" fillId="12" borderId="2" xfId="0" applyFill="1" applyBorder="1" applyAlignment="1">
      <alignment vertical="center"/>
    </xf>
    <xf numFmtId="0" fontId="0" fillId="12" borderId="2" xfId="0" applyFill="1" applyBorder="1" applyAlignment="1">
      <alignment horizontal="center" vertical="center"/>
    </xf>
    <xf numFmtId="0" fontId="1" fillId="12" borderId="2" xfId="1" applyFill="1" applyBorder="1" applyAlignment="1">
      <alignment vertical="center"/>
    </xf>
    <xf numFmtId="0" fontId="4" fillId="5" borderId="0" xfId="0" applyFont="1" applyFill="1" applyAlignment="1">
      <alignment horizontal="left" vertical="center"/>
    </xf>
    <xf numFmtId="0" fontId="1" fillId="0" borderId="0" xfId="1" applyAlignment="1"/>
    <xf numFmtId="0" fontId="4" fillId="5" borderId="0" xfId="0" quotePrefix="1" applyFont="1" applyFill="1" applyAlignment="1">
      <alignment horizontal="left" vertical="center"/>
    </xf>
    <xf numFmtId="0" fontId="4" fillId="7" borderId="0" xfId="0" applyFont="1" applyFill="1" applyAlignment="1">
      <alignment horizontal="left" vertical="center"/>
    </xf>
    <xf numFmtId="0" fontId="4" fillId="4" borderId="0" xfId="0" quotePrefix="1" applyFont="1" applyFill="1" applyAlignment="1">
      <alignment horizontal="left" vertical="center"/>
    </xf>
    <xf numFmtId="0" fontId="4" fillId="0" borderId="0" xfId="0" quotePrefix="1" applyFont="1" applyAlignment="1">
      <alignment horizontal="left" vertical="center"/>
    </xf>
    <xf numFmtId="0" fontId="4" fillId="6" borderId="0" xfId="0" applyFont="1" applyFill="1" applyAlignment="1">
      <alignment horizontal="left" vertical="center"/>
    </xf>
    <xf numFmtId="16" fontId="0" fillId="0" borderId="0" xfId="0" applyNumberFormat="1" applyAlignment="1">
      <alignment horizontal="center" vertical="center"/>
    </xf>
    <xf numFmtId="16" fontId="0" fillId="12" borderId="5" xfId="0" applyNumberFormat="1" applyFill="1" applyBorder="1" applyAlignment="1">
      <alignment horizontal="center" vertical="center"/>
    </xf>
    <xf numFmtId="16" fontId="0" fillId="12" borderId="7" xfId="0" applyNumberFormat="1" applyFill="1" applyBorder="1" applyAlignment="1">
      <alignment horizontal="center" vertical="center"/>
    </xf>
    <xf numFmtId="0" fontId="12" fillId="10" borderId="9" xfId="0" applyFont="1" applyFill="1" applyBorder="1" applyAlignment="1">
      <alignment horizontal="center" vertical="center"/>
    </xf>
    <xf numFmtId="0" fontId="0" fillId="0" borderId="0" xfId="0" applyAlignment="1">
      <alignment horizontal="center"/>
    </xf>
    <xf numFmtId="16" fontId="0" fillId="0" borderId="0" xfId="0" applyNumberFormat="1" applyAlignment="1">
      <alignment horizontal="center"/>
    </xf>
    <xf numFmtId="0" fontId="1" fillId="12" borderId="2" xfId="1" applyFill="1" applyBorder="1" applyAlignment="1">
      <alignment horizontal="center" vertical="center"/>
    </xf>
    <xf numFmtId="16" fontId="0" fillId="12" borderId="2" xfId="0" applyNumberFormat="1" applyFill="1" applyBorder="1" applyAlignment="1">
      <alignment horizontal="left" vertical="center"/>
    </xf>
    <xf numFmtId="0" fontId="2" fillId="12" borderId="2" xfId="0" applyFont="1" applyFill="1" applyBorder="1" applyAlignment="1">
      <alignment vertical="center"/>
    </xf>
    <xf numFmtId="0" fontId="2" fillId="0" borderId="2" xfId="0" applyFont="1" applyBorder="1" applyAlignment="1">
      <alignment horizontal="left" vertical="center"/>
    </xf>
    <xf numFmtId="0" fontId="2" fillId="12" borderId="2" xfId="0" applyFont="1" applyFill="1" applyBorder="1" applyAlignment="1">
      <alignment horizontal="left" vertical="center"/>
    </xf>
    <xf numFmtId="0" fontId="2" fillId="11" borderId="2" xfId="0" applyFont="1" applyFill="1" applyBorder="1" applyAlignment="1">
      <alignment horizontal="left" vertical="center"/>
    </xf>
    <xf numFmtId="0" fontId="2" fillId="12" borderId="2" xfId="0" applyFont="1" applyFill="1" applyBorder="1" applyAlignment="1">
      <alignment horizontal="center" vertical="center"/>
    </xf>
    <xf numFmtId="0" fontId="12" fillId="10" borderId="9" xfId="0" applyFont="1" applyFill="1" applyBorder="1" applyAlignment="1">
      <alignment vertical="center"/>
    </xf>
    <xf numFmtId="0" fontId="12" fillId="10" borderId="0" xfId="0" applyFont="1" applyFill="1" applyAlignment="1">
      <alignment vertical="center"/>
    </xf>
    <xf numFmtId="0" fontId="0" fillId="3" borderId="2" xfId="0" applyFill="1" applyBorder="1" applyAlignment="1">
      <alignment horizontal="left" vertical="center"/>
    </xf>
    <xf numFmtId="16" fontId="0" fillId="3" borderId="2" xfId="0" applyNumberFormat="1" applyFill="1" applyBorder="1" applyAlignment="1">
      <alignment horizontal="center" vertical="center"/>
    </xf>
    <xf numFmtId="0" fontId="1" fillId="11" borderId="2" xfId="1" applyFill="1" applyBorder="1" applyAlignment="1">
      <alignment vertical="center"/>
    </xf>
    <xf numFmtId="0" fontId="0" fillId="11" borderId="2" xfId="0" applyFill="1" applyBorder="1" applyAlignment="1">
      <alignment vertical="center" wrapText="1"/>
    </xf>
    <xf numFmtId="0" fontId="0" fillId="0" borderId="2" xfId="0" applyBorder="1" applyAlignment="1">
      <alignment horizontal="left" vertical="center" wrapText="1"/>
    </xf>
    <xf numFmtId="16" fontId="0" fillId="0" borderId="5" xfId="0" applyNumberFormat="1" applyBorder="1" applyAlignment="1">
      <alignment horizontal="center" vertical="center"/>
    </xf>
    <xf numFmtId="16" fontId="0" fillId="0" borderId="7" xfId="0" applyNumberFormat="1" applyBorder="1" applyAlignment="1">
      <alignment horizontal="center" vertical="center"/>
    </xf>
    <xf numFmtId="16" fontId="0" fillId="12" borderId="5" xfId="0" applyNumberFormat="1" applyFill="1" applyBorder="1" applyAlignment="1">
      <alignment horizontal="center" vertical="center"/>
    </xf>
    <xf numFmtId="16" fontId="0" fillId="12" borderId="7" xfId="0" applyNumberFormat="1" applyFill="1" applyBorder="1" applyAlignment="1">
      <alignment horizontal="center" vertical="center"/>
    </xf>
    <xf numFmtId="16" fontId="0" fillId="13" borderId="5" xfId="0" applyNumberFormat="1" applyFill="1" applyBorder="1" applyAlignment="1">
      <alignment horizontal="center" vertical="center"/>
    </xf>
    <xf numFmtId="16" fontId="0" fillId="13" borderId="7" xfId="0" applyNumberFormat="1" applyFill="1" applyBorder="1" applyAlignment="1">
      <alignment horizontal="center" vertical="center"/>
    </xf>
    <xf numFmtId="0" fontId="12" fillId="10" borderId="9" xfId="0" applyFont="1" applyFill="1" applyBorder="1" applyAlignment="1">
      <alignment horizontal="left" vertical="center"/>
    </xf>
    <xf numFmtId="0" fontId="12" fillId="10" borderId="2" xfId="0" applyFont="1" applyFill="1" applyBorder="1" applyAlignment="1">
      <alignment horizontal="center" vertical="center"/>
    </xf>
    <xf numFmtId="0" fontId="12" fillId="10" borderId="2" xfId="0" applyFont="1" applyFill="1" applyBorder="1" applyAlignment="1">
      <alignment horizontal="left" vertical="center"/>
    </xf>
    <xf numFmtId="0" fontId="12" fillId="10" borderId="8" xfId="0" applyFont="1" applyFill="1" applyBorder="1" applyAlignment="1">
      <alignment horizontal="center" vertical="center"/>
    </xf>
    <xf numFmtId="0" fontId="12" fillId="10" borderId="4" xfId="0" applyFont="1" applyFill="1" applyBorder="1" applyAlignment="1">
      <alignment horizontal="center" vertical="center"/>
    </xf>
    <xf numFmtId="0" fontId="0" fillId="0" borderId="10" xfId="0" applyBorder="1" applyAlignment="1">
      <alignment horizontal="center" vertical="center"/>
    </xf>
    <xf numFmtId="0" fontId="0" fillId="0" borderId="11" xfId="0" applyBorder="1" applyAlignment="1">
      <alignment horizontal="center" vertical="center"/>
    </xf>
    <xf numFmtId="0" fontId="0" fillId="0" borderId="12" xfId="0"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11" borderId="10" xfId="0" applyFill="1" applyBorder="1" applyAlignment="1">
      <alignment horizontal="center" vertical="center"/>
    </xf>
    <xf numFmtId="0" fontId="0" fillId="11" borderId="11" xfId="0" applyFill="1" applyBorder="1" applyAlignment="1">
      <alignment horizontal="center" vertical="center"/>
    </xf>
    <xf numFmtId="0" fontId="0" fillId="11" borderId="12" xfId="0" applyFill="1" applyBorder="1" applyAlignment="1">
      <alignment horizontal="center" vertical="center"/>
    </xf>
    <xf numFmtId="0" fontId="12" fillId="10" borderId="10" xfId="0" applyFont="1" applyFill="1" applyBorder="1" applyAlignment="1">
      <alignment horizontal="center" vertical="center"/>
    </xf>
    <xf numFmtId="0" fontId="12" fillId="10" borderId="11" xfId="0" applyFont="1" applyFill="1" applyBorder="1" applyAlignment="1">
      <alignment horizontal="center" vertical="center"/>
    </xf>
    <xf numFmtId="0" fontId="12" fillId="10" borderId="12" xfId="0" applyFont="1" applyFill="1" applyBorder="1" applyAlignment="1">
      <alignment horizontal="center" vertical="center"/>
    </xf>
    <xf numFmtId="0" fontId="12" fillId="10" borderId="13" xfId="0" applyFont="1" applyFill="1" applyBorder="1" applyAlignment="1">
      <alignment horizontal="center" vertical="center"/>
    </xf>
    <xf numFmtId="0" fontId="12" fillId="10" borderId="9" xfId="0" applyFont="1" applyFill="1" applyBorder="1" applyAlignment="1">
      <alignment horizontal="center" vertical="center"/>
    </xf>
    <xf numFmtId="0" fontId="12" fillId="10" borderId="14" xfId="0" applyFont="1" applyFill="1" applyBorder="1" applyAlignment="1">
      <alignment horizontal="center" vertical="center"/>
    </xf>
    <xf numFmtId="0" fontId="12" fillId="10" borderId="5" xfId="0" applyFont="1" applyFill="1" applyBorder="1" applyAlignment="1">
      <alignment horizontal="center" vertical="center"/>
    </xf>
    <xf numFmtId="0" fontId="12" fillId="10" borderId="6" xfId="0" applyFont="1" applyFill="1" applyBorder="1" applyAlignment="1">
      <alignment horizontal="center" vertical="center"/>
    </xf>
    <xf numFmtId="0" fontId="12" fillId="10" borderId="7" xfId="0" applyFont="1" applyFill="1" applyBorder="1" applyAlignment="1">
      <alignment horizontal="center" vertical="center"/>
    </xf>
    <xf numFmtId="0" fontId="12" fillId="10" borderId="8" xfId="0" applyFont="1" applyFill="1" applyBorder="1" applyAlignment="1">
      <alignment horizontal="left" vertical="center"/>
    </xf>
    <xf numFmtId="0" fontId="12" fillId="10" borderId="4" xfId="0" applyFont="1" applyFill="1" applyBorder="1" applyAlignment="1">
      <alignment horizontal="left" vertical="center"/>
    </xf>
    <xf numFmtId="0" fontId="12" fillId="10" borderId="8" xfId="0" applyFont="1" applyFill="1" applyBorder="1" applyAlignment="1">
      <alignment vertical="center"/>
    </xf>
    <xf numFmtId="0" fontId="12" fillId="10" borderId="4" xfId="0" applyFont="1" applyFill="1" applyBorder="1" applyAlignment="1">
      <alignment vertical="center"/>
    </xf>
  </cellXfs>
  <cellStyles count="2">
    <cellStyle name="Hyperlink" xfId="1" builtinId="8"/>
    <cellStyle name="Normal" xfId="0" builtinId="0"/>
  </cellStyles>
  <dxfs count="0"/>
  <tableStyles count="0" defaultTableStyle="TableStyleMedium2" defaultPivotStyle="PivotStyleLight16"/>
  <colors>
    <mruColors>
      <color rgb="FF09A24C"/>
      <color rgb="FF0924A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Custom 4">
      <a:dk1>
        <a:sysClr val="windowText" lastClr="000000"/>
      </a:dk1>
      <a:lt1>
        <a:srgbClr val="FFFFFF"/>
      </a:lt1>
      <a:dk2>
        <a:srgbClr val="44546A"/>
      </a:dk2>
      <a:lt2>
        <a:srgbClr val="E7E6E6"/>
      </a:lt2>
      <a:accent1>
        <a:srgbClr val="459E55"/>
      </a:accent1>
      <a:accent2>
        <a:srgbClr val="35657E"/>
      </a:accent2>
      <a:accent3>
        <a:srgbClr val="D0E6E8"/>
      </a:accent3>
      <a:accent4>
        <a:srgbClr val="7173AF"/>
      </a:accent4>
      <a:accent5>
        <a:srgbClr val="D0D2EB"/>
      </a:accent5>
      <a:accent6>
        <a:srgbClr val="6D6E71"/>
      </a:accent6>
      <a:hlink>
        <a:srgbClr val="244649"/>
      </a:hlink>
      <a:folHlink>
        <a:srgbClr val="488D93"/>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wirecyprus.atlassian.net/browse/WIRE-1481" TargetMode="External"/><Relationship Id="rId21" Type="http://schemas.openxmlformats.org/officeDocument/2006/relationships/hyperlink" Target="https://www.statistics.gr/en/statistics?p_p_id=documents_WAR_publicationsportlet_INSTANCE_Mr0GiQJSgPHd&amp;p_p_lifecycle=2&amp;p_p_state=normal&amp;p_p_mode=view&amp;p_p_cacheability=cacheLevelPage&amp;p_p_col_id=column-2&amp;p_p_col_count=4&amp;p_p_col_pos=3&amp;_documents_WAR_publicationsportlet_INSTANCE_Mr0GiQJSgPHd_javax.faces.resource=document&amp;_documents_WAR_publicationsportlet_INSTANCE_Mr0GiQJSgPHd_ln=downloadResources&amp;_documents_WAR_publicationsportlet_INSTANCE_Mr0GiQJSgPHd_documentID=304767&amp;_documents_WAR_publicationsportlet_INSTANCE_Mr0GiQJSgPHd_locale=en" TargetMode="External"/><Relationship Id="rId42" Type="http://schemas.openxmlformats.org/officeDocument/2006/relationships/hyperlink" Target="https://wirecyprus.atlassian.net/browse/WIRE-1492" TargetMode="External"/><Relationship Id="rId47" Type="http://schemas.openxmlformats.org/officeDocument/2006/relationships/hyperlink" Target="https://www.statistics.gr/en/statistics?p_p_id=documents_WAR_publicationsportlet_INSTANCE_Mr0GiQJSgPHd&amp;p_p_lifecycle=2&amp;p_p_state=normal&amp;p_p_mode=view&amp;p_p_cacheability=cacheLevelPage&amp;p_p_col_id=column-2&amp;p_p_col_count=4&amp;p_p_col_pos=3&amp;_documents_WAR_publicationsportlet_INSTANCE_Mr0GiQJSgPHd_javax.faces.resource=document&amp;_documents_WAR_publicationsportlet_INSTANCE_Mr0GiQJSgPHd_ln=downloadResources&amp;_documents_WAR_publicationsportlet_INSTANCE_Mr0GiQJSgPHd_documentID=243344&amp;_documents_WAR_publicationsportlet_INSTANCE_Mr0GiQJSgPHd_locale=en" TargetMode="External"/><Relationship Id="rId63" Type="http://schemas.openxmlformats.org/officeDocument/2006/relationships/hyperlink" Target="https://wirecyprus.atlassian.net/browse/WIRE-1505" TargetMode="External"/><Relationship Id="rId68" Type="http://schemas.openxmlformats.org/officeDocument/2006/relationships/hyperlink" Target="https://wirecyprus.atlassian.net/browse/WIRE-1508" TargetMode="External"/><Relationship Id="rId2" Type="http://schemas.openxmlformats.org/officeDocument/2006/relationships/hyperlink" Target="https://wirecyprus.atlassian.net/browse/WIRE-1332" TargetMode="External"/><Relationship Id="rId16" Type="http://schemas.openxmlformats.org/officeDocument/2006/relationships/hyperlink" Target="https://www.statistics.gr/el/statistics/-/publication/SOP03/-" TargetMode="External"/><Relationship Id="rId29" Type="http://schemas.openxmlformats.org/officeDocument/2006/relationships/hyperlink" Target="https://wirecyprus.atlassian.net/browse/WIRE-1483" TargetMode="External"/><Relationship Id="rId11" Type="http://schemas.openxmlformats.org/officeDocument/2006/relationships/hyperlink" Target="https://wirecyprus.atlassian.net/browse/WIRE-1372" TargetMode="External"/><Relationship Id="rId24" Type="http://schemas.openxmlformats.org/officeDocument/2006/relationships/hyperlink" Target="https://www.statistics.gr/en/statistics?p_p_id=documents_WAR_publicationsportlet_INSTANCE_VBZOni0vs5VJ&amp;p_p_lifecycle=2&amp;p_p_state=normal&amp;p_p_mode=view&amp;p_p_cacheability=cacheLevelPage&amp;p_p_col_id=column-2&amp;p_p_col_count=4&amp;p_p_col_pos=2&amp;_documents_WAR_publicationsportlet_INSTANCE_VBZOni0vs5VJ_javax.faces.resource=document&amp;_documents_WAR_publicationsportlet_INSTANCE_VBZOni0vs5VJ_ln=downloadResources&amp;_documents_WAR_publicationsportlet_INSTANCE_VBZOni0vs5VJ_documentID=517393&amp;_documents_WAR_publicationsportlet_INSTANCE_VBZOni0vs5VJ_locale=en" TargetMode="External"/><Relationship Id="rId32" Type="http://schemas.openxmlformats.org/officeDocument/2006/relationships/hyperlink" Target="https://wirecyprus.atlassian.net/browse/WIRE-1485" TargetMode="External"/><Relationship Id="rId37" Type="http://schemas.openxmlformats.org/officeDocument/2006/relationships/hyperlink" Target="https://wirecyprus.atlassian.net/browse/WIRE-1488" TargetMode="External"/><Relationship Id="rId40" Type="http://schemas.openxmlformats.org/officeDocument/2006/relationships/hyperlink" Target="https://www.statistics.gr/en/statistics?p_p_id=documents_WAR_publicationsportlet_INSTANCE_Mr0GiQJSgPHd&amp;p_p_lifecycle=2&amp;p_p_state=normal&amp;p_p_mode=view&amp;p_p_cacheability=cacheLevelPage&amp;p_p_col_id=column-2&amp;p_p_col_count=4&amp;p_p_col_pos=3&amp;_documents_WAR_publicationsportlet_INSTANCE_Mr0GiQJSgPHd_javax.faces.resource=document&amp;_documents_WAR_publicationsportlet_INSTANCE_Mr0GiQJSgPHd_ln=downloadResources&amp;_documents_WAR_publicationsportlet_INSTANCE_Mr0GiQJSgPHd_documentID=470597&amp;_documents_WAR_publicationsportlet_INSTANCE_Mr0GiQJSgPHd_locale=en" TargetMode="External"/><Relationship Id="rId45" Type="http://schemas.openxmlformats.org/officeDocument/2006/relationships/hyperlink" Target="https://wirecyprus.atlassian.net/browse/WIRE-1494" TargetMode="External"/><Relationship Id="rId53" Type="http://schemas.openxmlformats.org/officeDocument/2006/relationships/hyperlink" Target="https://wirecyprus.atlassian.net/browse/WIRE-1497" TargetMode="External"/><Relationship Id="rId58" Type="http://schemas.openxmlformats.org/officeDocument/2006/relationships/hyperlink" Target="https://wirecyprus.atlassian.net/browse/WIRE-1500" TargetMode="External"/><Relationship Id="rId66" Type="http://schemas.openxmlformats.org/officeDocument/2006/relationships/hyperlink" Target="https://wirecyprus.atlassian.net/browse/WIRE-1506" TargetMode="External"/><Relationship Id="rId74" Type="http://schemas.openxmlformats.org/officeDocument/2006/relationships/printerSettings" Target="../printerSettings/printerSettings1.bin"/><Relationship Id="rId5" Type="http://schemas.openxmlformats.org/officeDocument/2006/relationships/hyperlink" Target="https://www.statistics.gr/el/statistics/-/publication/SJO02/-" TargetMode="External"/><Relationship Id="rId61" Type="http://schemas.openxmlformats.org/officeDocument/2006/relationships/hyperlink" Target="https://wirecyprus.atlassian.net/browse/WIRE-1503" TargetMode="External"/><Relationship Id="rId19" Type="http://schemas.openxmlformats.org/officeDocument/2006/relationships/hyperlink" Target="https://wirecyprus.atlassian.net/browse/WIRE-1479" TargetMode="External"/><Relationship Id="rId14" Type="http://schemas.openxmlformats.org/officeDocument/2006/relationships/hyperlink" Target="https://wirecyprus.atlassian.net/browse/WIRE-1306" TargetMode="External"/><Relationship Id="rId22" Type="http://schemas.openxmlformats.org/officeDocument/2006/relationships/hyperlink" Target="https://www.statistics.gr/el/statistics/-/publication/SFC02/-" TargetMode="External"/><Relationship Id="rId27" Type="http://schemas.openxmlformats.org/officeDocument/2006/relationships/hyperlink" Target="https://wirecyprus.atlassian.net/browse/WIRE-1481" TargetMode="External"/><Relationship Id="rId30" Type="http://schemas.openxmlformats.org/officeDocument/2006/relationships/hyperlink" Target="https://wirecyprus.atlassian.net/browse/WIRE-1484" TargetMode="External"/><Relationship Id="rId35" Type="http://schemas.openxmlformats.org/officeDocument/2006/relationships/hyperlink" Target="https://wirecyprus.atlassian.net/browse/WIRE-1487" TargetMode="External"/><Relationship Id="rId43" Type="http://schemas.openxmlformats.org/officeDocument/2006/relationships/hyperlink" Target="https://www.statistics.gr/en/statistics?p_p_id=documents_WAR_publicationsportlet_INSTANCE_Mr0GiQJSgPHd&amp;p_p_lifecycle=2&amp;p_p_state=normal&amp;p_p_mode=view&amp;p_p_cacheability=cacheLevelPage&amp;p_p_col_id=column-2&amp;p_p_col_count=4&amp;p_p_col_pos=3&amp;_documents_WAR_publicationsportlet_INSTANCE_Mr0GiQJSgPHd_javax.faces.resource=document&amp;_documents_WAR_publicationsportlet_INSTANCE_Mr0GiQJSgPHd_ln=downloadResources&amp;_documents_WAR_publicationsportlet_INSTANCE_Mr0GiQJSgPHd_documentID=471748&amp;_documents_WAR_publicationsportlet_INSTANCE_Mr0GiQJSgPHd_locale=en" TargetMode="External"/><Relationship Id="rId48" Type="http://schemas.openxmlformats.org/officeDocument/2006/relationships/hyperlink" Target="https://wirecyprus.atlassian.net/browse/WIRE-1495" TargetMode="External"/><Relationship Id="rId56" Type="http://schemas.openxmlformats.org/officeDocument/2006/relationships/hyperlink" Target="https://www.bankofgreece.gr/RelatedDocuments/BPM6_FDI_ABROAD_BY_COUNTRY.xls" TargetMode="External"/><Relationship Id="rId64" Type="http://schemas.openxmlformats.org/officeDocument/2006/relationships/hyperlink" Target="https://wirecyprus.atlassian.net/browse/WIRE-1505" TargetMode="External"/><Relationship Id="rId69" Type="http://schemas.openxmlformats.org/officeDocument/2006/relationships/hyperlink" Target="https://wirecyprus.atlassian.net/browse/WIRE-1508" TargetMode="External"/><Relationship Id="rId8" Type="http://schemas.openxmlformats.org/officeDocument/2006/relationships/hyperlink" Target="https://www.statistics.gr/el/statistics/-/publication/DKT87/-" TargetMode="External"/><Relationship Id="rId51" Type="http://schemas.openxmlformats.org/officeDocument/2006/relationships/hyperlink" Target="https://www.statistics.gr/en/statistics?p_p_id=documents_WAR_publicationsportlet_INSTANCE_VBZOni0vs5VJ&amp;p_p_lifecycle=2&amp;p_p_state=normal&amp;p_p_mode=view&amp;p_p_cacheability=cacheLevelPage&amp;p_p_col_id=column-2&amp;p_p_col_count=4&amp;p_p_col_pos=2&amp;_documents_WAR_publicationsportlet_INSTANCE_VBZOni0vs5VJ_javax.faces.resource=document&amp;_documents_WAR_publicationsportlet_INSTANCE_VBZOni0vs5VJ_ln=downloadResources&amp;_documents_WAR_publicationsportlet_INSTANCE_VBZOni0vs5VJ_documentID=516607&amp;_documents_WAR_publicationsportlet_INSTANCE_VBZOni0vs5VJ_locale=en" TargetMode="External"/><Relationship Id="rId72" Type="http://schemas.openxmlformats.org/officeDocument/2006/relationships/hyperlink" Target="https://wirecyprus.atlassian.net/browse/WIRE-1531" TargetMode="External"/><Relationship Id="rId3" Type="http://schemas.openxmlformats.org/officeDocument/2006/relationships/hyperlink" Target="https://wirecyprus.atlassian.net/browse/WIRE-1305" TargetMode="External"/><Relationship Id="rId12" Type="http://schemas.openxmlformats.org/officeDocument/2006/relationships/hyperlink" Target="https://www.statistics.gr/el/statistics/-/publication/SOP03/-" TargetMode="External"/><Relationship Id="rId17" Type="http://schemas.openxmlformats.org/officeDocument/2006/relationships/hyperlink" Target="https://wirecyprus.atlassian.net/browse/WIRE-1478" TargetMode="External"/><Relationship Id="rId25" Type="http://schemas.openxmlformats.org/officeDocument/2006/relationships/hyperlink" Target="https://www.statistics.gr/en/statistics?p_p_id=documents_WAR_publicationsportlet_INSTANCE_VBZOni0vs5VJ&amp;p_p_lifecycle=2&amp;p_p_state=normal&amp;p_p_mode=view&amp;p_p_cacheability=cacheLevelPage&amp;p_p_col_id=column-2&amp;p_p_col_count=4&amp;p_p_col_pos=2&amp;_documents_WAR_publicationsportlet_INSTANCE_VBZOni0vs5VJ_javax.faces.resource=document&amp;_documents_WAR_publicationsportlet_INSTANCE_VBZOni0vs5VJ_ln=downloadResources&amp;_documents_WAR_publicationsportlet_INSTANCE_VBZOni0vs5VJ_documentID=517393&amp;_documents_WAR_publicationsportlet_INSTANCE_VBZOni0vs5VJ_locale=en" TargetMode="External"/><Relationship Id="rId33" Type="http://schemas.openxmlformats.org/officeDocument/2006/relationships/hyperlink" Target="https://wirecyprus.atlassian.net/browse/WIRE-1485" TargetMode="External"/><Relationship Id="rId38" Type="http://schemas.openxmlformats.org/officeDocument/2006/relationships/hyperlink" Target="https://www.statistics.gr/en/statistics?p_p_id=documents_WAR_publicationsportlet_INSTANCE_Mr0GiQJSgPHd&amp;p_p_lifecycle=2&amp;p_p_state=normal&amp;p_p_mode=view&amp;p_p_cacheability=cacheLevelPage&amp;p_p_col_id=column-2&amp;p_p_col_count=4&amp;p_p_col_pos=3&amp;_documents_WAR_publicationsportlet_INSTANCE_Mr0GiQJSgPHd_javax.faces.resource=document&amp;_documents_WAR_publicationsportlet_INSTANCE_Mr0GiQJSgPHd_ln=downloadResources&amp;_documents_WAR_publicationsportlet_INSTANCE_Mr0GiQJSgPHd_documentID=499174&amp;_documents_WAR_publicationsportlet_INSTANCE_Mr0GiQJSgPHd_locale=en" TargetMode="External"/><Relationship Id="rId46" Type="http://schemas.openxmlformats.org/officeDocument/2006/relationships/hyperlink" Target="https://www.statistics.gr/en/statistics?p_p_id=documents_WAR_publicationsportlet_INSTANCE_Mr0GiQJSgPHd&amp;p_p_lifecycle=2&amp;p_p_state=normal&amp;p_p_mode=view&amp;p_p_cacheability=cacheLevelPage&amp;p_p_col_id=column-2&amp;p_p_col_count=4&amp;p_p_col_pos=3&amp;_documents_WAR_publicationsportlet_INSTANCE_Mr0GiQJSgPHd_javax.faces.resource=document&amp;_documents_WAR_publicationsportlet_INSTANCE_Mr0GiQJSgPHd_ln=downloadResources&amp;_documents_WAR_publicationsportlet_INSTANCE_Mr0GiQJSgPHd_documentID=243344&amp;_documents_WAR_publicationsportlet_INSTANCE_Mr0GiQJSgPHd_locale=en" TargetMode="External"/><Relationship Id="rId59" Type="http://schemas.openxmlformats.org/officeDocument/2006/relationships/hyperlink" Target="https://www.statistics.gr/en/statistics?p_p_id=documents_WAR_publicationsportlet_INSTANCE_Mr0GiQJSgPHd&amp;p_p_lifecycle=2&amp;p_p_state=normal&amp;p_p_mode=view&amp;p_p_cacheability=cacheLevelPage&amp;p_p_col_id=column-2&amp;p_p_col_count=4&amp;p_p_col_pos=3&amp;_documents_WAR_publicationsportlet_INSTANCE_Mr0GiQJSgPHd_javax.faces.resource=document&amp;_documents_WAR_publicationsportlet_INSTANCE_Mr0GiQJSgPHd_ln=downloadResources&amp;_documents_WAR_publicationsportlet_INSTANCE_Mr0GiQJSgPHd_documentID=115410&amp;_documents_WAR_publicationsportlet_INSTANCE_Mr0GiQJSgPHd_locale=en" TargetMode="External"/><Relationship Id="rId67" Type="http://schemas.openxmlformats.org/officeDocument/2006/relationships/hyperlink" Target="https://wirecyprus.atlassian.net/browse/WIRE-1507" TargetMode="External"/><Relationship Id="rId20" Type="http://schemas.openxmlformats.org/officeDocument/2006/relationships/hyperlink" Target="https://wirecyprus.atlassian.net/browse/WIRE-1480" TargetMode="External"/><Relationship Id="rId41" Type="http://schemas.openxmlformats.org/officeDocument/2006/relationships/hyperlink" Target="https://wirecyprus.atlassian.net/browse/WIRE-1491" TargetMode="External"/><Relationship Id="rId54" Type="http://schemas.openxmlformats.org/officeDocument/2006/relationships/hyperlink" Target="https://wirecyprus.atlassian.net/browse/WIRE-1499" TargetMode="External"/><Relationship Id="rId62" Type="http://schemas.openxmlformats.org/officeDocument/2006/relationships/hyperlink" Target="https://wirecyprus.atlassian.net/browse/WIRE-1503" TargetMode="External"/><Relationship Id="rId70" Type="http://schemas.openxmlformats.org/officeDocument/2006/relationships/hyperlink" Target="https://wirecyprus.atlassian.net/browse/WIRE-1508" TargetMode="External"/><Relationship Id="rId1" Type="http://schemas.openxmlformats.org/officeDocument/2006/relationships/hyperlink" Target="https://wirecyprus.atlassian.net/browse/WIRE-1331" TargetMode="External"/><Relationship Id="rId6" Type="http://schemas.openxmlformats.org/officeDocument/2006/relationships/hyperlink" Target="https://wirecyprus.atlassian.net/browse/WIRE-1330" TargetMode="External"/><Relationship Id="rId15" Type="http://schemas.openxmlformats.org/officeDocument/2006/relationships/hyperlink" Target="https://www.statistics.gr/el/statistics/-/publication/SOP03/-" TargetMode="External"/><Relationship Id="rId23" Type="http://schemas.openxmlformats.org/officeDocument/2006/relationships/hyperlink" Target="https://www.statistics.gr/el/statistics/-/publication/SFC02/-" TargetMode="External"/><Relationship Id="rId28" Type="http://schemas.openxmlformats.org/officeDocument/2006/relationships/hyperlink" Target="https://wirecyprus.atlassian.net/browse/WIRE-1482" TargetMode="External"/><Relationship Id="rId36" Type="http://schemas.openxmlformats.org/officeDocument/2006/relationships/hyperlink" Target="https://www.statistics.gr/en/statistics?p_p_id=documents_WAR_publicationsportlet_INSTANCE_Mr0GiQJSgPHd&amp;p_p_lifecycle=2&amp;p_p_state=normal&amp;p_p_mode=view&amp;p_p_cacheability=cacheLevelPage&amp;p_p_col_id=column-2&amp;p_p_col_count=4&amp;p_p_col_pos=3&amp;_documents_WAR_publicationsportlet_INSTANCE_Mr0GiQJSgPHd_javax.faces.resource=document&amp;_documents_WAR_publicationsportlet_INSTANCE_Mr0GiQJSgPHd_ln=downloadResources&amp;_documents_WAR_publicationsportlet_INSTANCE_Mr0GiQJSgPHd_documentID=114755&amp;_documents_WAR_publicationsportlet_INSTANCE_Mr0GiQJSgPHd_locale=en" TargetMode="External"/><Relationship Id="rId49" Type="http://schemas.openxmlformats.org/officeDocument/2006/relationships/hyperlink" Target="https://wirecyprus.atlassian.net/browse/WIRE-1495" TargetMode="External"/><Relationship Id="rId57" Type="http://schemas.openxmlformats.org/officeDocument/2006/relationships/hyperlink" Target="https://www.statistics.gr/en/statistics?p_p_id=documents_WAR_publicationsportlet_INSTANCE_Mr0GiQJSgPHd&amp;p_p_lifecycle=2&amp;p_p_state=normal&amp;p_p_mode=view&amp;p_p_cacheability=cacheLevelPage&amp;p_p_col_id=column-2&amp;p_p_col_count=4&amp;p_p_col_pos=3&amp;_documents_WAR_publicationsportlet_INSTANCE_Mr0GiQJSgPHd_javax.faces.resource=document&amp;_documents_WAR_publicationsportlet_INSTANCE_Mr0GiQJSgPHd_ln=downloadResources&amp;_documents_WAR_publicationsportlet_INSTANCE_Mr0GiQJSgPHd_documentID=115368&amp;_documents_WAR_publicationsportlet_INSTANCE_Mr0GiQJSgPHd_locale=en" TargetMode="External"/><Relationship Id="rId10" Type="http://schemas.openxmlformats.org/officeDocument/2006/relationships/hyperlink" Target="http://dlib.statistics.gr/portal/page/portal/ESYE/yeararticles?p_topic=10007862&amp;p_cat=10007862&amp;p_catage=2021" TargetMode="External"/><Relationship Id="rId31" Type="http://schemas.openxmlformats.org/officeDocument/2006/relationships/hyperlink" Target="https://wirecyprus.atlassian.net/browse/WIRE-1485" TargetMode="External"/><Relationship Id="rId44" Type="http://schemas.openxmlformats.org/officeDocument/2006/relationships/hyperlink" Target="https://wirecyprus.atlassian.net/browse/WIRE-1493" TargetMode="External"/><Relationship Id="rId52" Type="http://schemas.openxmlformats.org/officeDocument/2006/relationships/hyperlink" Target="https://www.statistics.gr/el/statistics?p_p_id=documents_WAR_publicationsportlet_INSTANCE_VBZOni0vs5VJ&amp;p_p_lifecycle=2&amp;p_p_state=normal&amp;p_p_mode=view&amp;p_p_cacheability=cacheLevelPage&amp;p_p_col_id=column-2&amp;p_p_col_count=4&amp;p_p_col_pos=2&amp;_documents_WAR_publicationsportlet_INSTANCE_VBZOni0vs5VJ_javax.faces.resource=document&amp;_documents_WAR_publicationsportlet_INSTANCE_VBZOni0vs5VJ_ln=downloadResources&amp;_documents_WAR_publicationsportlet_INSTANCE_VBZOni0vs5VJ_documentID=516604&amp;_documents_WAR_publicationsportlet_INSTANCE_VBZOni0vs5VJ_locale=el" TargetMode="External"/><Relationship Id="rId60" Type="http://schemas.openxmlformats.org/officeDocument/2006/relationships/hyperlink" Target="https://wirecyprus.atlassian.net/browse/WIRE-1501" TargetMode="External"/><Relationship Id="rId65" Type="http://schemas.openxmlformats.org/officeDocument/2006/relationships/hyperlink" Target="https://wirecyprus.atlassian.net/browse/WIRE-1506" TargetMode="External"/><Relationship Id="rId73" Type="http://schemas.openxmlformats.org/officeDocument/2006/relationships/hyperlink" Target="https://wirecyprus.atlassian.net/browse/WIRE-1540" TargetMode="External"/><Relationship Id="rId4" Type="http://schemas.openxmlformats.org/officeDocument/2006/relationships/hyperlink" Target="https://www.statistics.gr/el/statistics/-/publication/SEL84/-" TargetMode="External"/><Relationship Id="rId9" Type="http://schemas.openxmlformats.org/officeDocument/2006/relationships/hyperlink" Target="https://www.statistics.gr/el/2021-buildings-census" TargetMode="External"/><Relationship Id="rId13" Type="http://schemas.openxmlformats.org/officeDocument/2006/relationships/hyperlink" Target="https://www.statistics.gr/el/statistics/-/publication/SOP03/-" TargetMode="External"/><Relationship Id="rId18" Type="http://schemas.openxmlformats.org/officeDocument/2006/relationships/hyperlink" Target="https://www.statistics.gr/en/statistics?p_p_id=documents_WAR_publicationsportlet_INSTANCE_Mr0GiQJSgPHd&amp;p_p_lifecycle=2&amp;p_p_state=normal&amp;p_p_mode=view&amp;p_p_cacheability=cacheLevelPage&amp;p_p_col_id=column-2&amp;p_p_col_count=4&amp;p_p_col_pos=3&amp;_documents_WAR_publicationsportlet_INSTANCE_Mr0GiQJSgPHd_javax.faces.resource=document&amp;_documents_WAR_publicationsportlet_INSTANCE_Mr0GiQJSgPHd_ln=downloadResources&amp;_documents_WAR_publicationsportlet_INSTANCE_Mr0GiQJSgPHd_documentID=116021&amp;_documents_WAR_publicationsportlet_INSTANCE_Mr0GiQJSgPHd_locale=en" TargetMode="External"/><Relationship Id="rId39" Type="http://schemas.openxmlformats.org/officeDocument/2006/relationships/hyperlink" Target="https://wirecyprus.atlassian.net/browse/WIRE-1489" TargetMode="External"/><Relationship Id="rId34" Type="http://schemas.openxmlformats.org/officeDocument/2006/relationships/hyperlink" Target="https://wirecyprus.atlassian.net/browse/WIRE-1486" TargetMode="External"/><Relationship Id="rId50" Type="http://schemas.openxmlformats.org/officeDocument/2006/relationships/hyperlink" Target="https://wirecyprus.atlassian.net/browse/WIRE-1496" TargetMode="External"/><Relationship Id="rId55" Type="http://schemas.openxmlformats.org/officeDocument/2006/relationships/hyperlink" Target="https://www.bankofgreece.gr/RelatedDocuments/BPM6_FDI_ABROAD_BY_ACTIVITY.xls" TargetMode="External"/><Relationship Id="rId7" Type="http://schemas.openxmlformats.org/officeDocument/2006/relationships/hyperlink" Target="https://www.statistics.gr/el/statistics/-/publication/DKT08/-" TargetMode="External"/><Relationship Id="rId71" Type="http://schemas.openxmlformats.org/officeDocument/2006/relationships/hyperlink" Target="https://www.statistics.gr/el/statistics/-/publication/SEL12/2023"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s://wirecyprus.atlassian.net/browse/WIRE-1561" TargetMode="External"/><Relationship Id="rId18" Type="http://schemas.openxmlformats.org/officeDocument/2006/relationships/hyperlink" Target="https://www.statistics.gr/el/statistics/-/publication/DKT87/-" TargetMode="External"/><Relationship Id="rId26" Type="http://schemas.openxmlformats.org/officeDocument/2006/relationships/hyperlink" Target="https://www.statistics.gr/en/statistics/-/publication/SOP03" TargetMode="External"/><Relationship Id="rId39" Type="http://schemas.openxmlformats.org/officeDocument/2006/relationships/hyperlink" Target="https://www.statistics.gr/en/statistics/-/publication/DKT63/-" TargetMode="External"/><Relationship Id="rId21" Type="http://schemas.openxmlformats.org/officeDocument/2006/relationships/hyperlink" Target="https://www.statistics.gr/el/statistics/-/publication/SJO02/-" TargetMode="External"/><Relationship Id="rId34" Type="http://schemas.openxmlformats.org/officeDocument/2006/relationships/hyperlink" Target="https://www.statistics.gr/en/statistics/-/publication/SEL95/-" TargetMode="External"/><Relationship Id="rId42" Type="http://schemas.openxmlformats.org/officeDocument/2006/relationships/hyperlink" Target="https://migration.gov.gr/en/statistika/" TargetMode="External"/><Relationship Id="rId7" Type="http://schemas.openxmlformats.org/officeDocument/2006/relationships/hyperlink" Target="https://wirecyprus.atlassian.net/browse/WIRE-1540" TargetMode="External"/><Relationship Id="rId2" Type="http://schemas.openxmlformats.org/officeDocument/2006/relationships/hyperlink" Target="https://wirecyprus.atlassian.net/browse/WIRE-1533" TargetMode="External"/><Relationship Id="rId16" Type="http://schemas.openxmlformats.org/officeDocument/2006/relationships/hyperlink" Target="https://ec.europa.eu/eurostat/databrowser/view/PRC_HICP_MANR__custom_3761882/bookmark/table?lang=en&amp;bookmarkId=4ad27e6f-358a-4a3d-82a0-587d69a833eb" TargetMode="External"/><Relationship Id="rId29" Type="http://schemas.openxmlformats.org/officeDocument/2006/relationships/hyperlink" Target="https://www.statistics.gr/en/statistics/-/publication/SOP03/" TargetMode="External"/><Relationship Id="rId1" Type="http://schemas.openxmlformats.org/officeDocument/2006/relationships/hyperlink" Target="https://wirecyprus.atlassian.net/browse/WIRE-1531" TargetMode="External"/><Relationship Id="rId6" Type="http://schemas.openxmlformats.org/officeDocument/2006/relationships/hyperlink" Target="https://wirecyprus.atlassian.net/browse/WIRE-1539" TargetMode="External"/><Relationship Id="rId11" Type="http://schemas.openxmlformats.org/officeDocument/2006/relationships/hyperlink" Target="https://wirecyprus.atlassian.net/browse/WIRE-1545" TargetMode="External"/><Relationship Id="rId24" Type="http://schemas.openxmlformats.org/officeDocument/2006/relationships/hyperlink" Target="https://www.statistics.gr/en/statistics/-/publication/DKT21" TargetMode="External"/><Relationship Id="rId32" Type="http://schemas.openxmlformats.org/officeDocument/2006/relationships/hyperlink" Target="https://www.bankofgreece.gr/en/statistics/external-sector/direct-investment/direct-investment---flows" TargetMode="External"/><Relationship Id="rId37" Type="http://schemas.openxmlformats.org/officeDocument/2006/relationships/hyperlink" Target="https://www.bankofgreece.gr/en/statistics/financial-markets-and-interest-rates/bank-deposit-and-loan-interest-rates" TargetMode="External"/><Relationship Id="rId40" Type="http://schemas.openxmlformats.org/officeDocument/2006/relationships/hyperlink" Target="https://www.statistics.gr/en/statistics/-/publication/DKT63/-" TargetMode="External"/><Relationship Id="rId45" Type="http://schemas.openxmlformats.org/officeDocument/2006/relationships/hyperlink" Target="https://migration.gov.gr/en/statistika/" TargetMode="External"/><Relationship Id="rId5" Type="http://schemas.openxmlformats.org/officeDocument/2006/relationships/hyperlink" Target="https://wirecyprus.atlassian.net/browse/WIRE-1537" TargetMode="External"/><Relationship Id="rId15" Type="http://schemas.openxmlformats.org/officeDocument/2006/relationships/hyperlink" Target="https://ec.europa.eu/eurostat/databrowser/view/NAMQ_10_GDP__custom_15422618/default/table?lang=en" TargetMode="External"/><Relationship Id="rId23" Type="http://schemas.openxmlformats.org/officeDocument/2006/relationships/hyperlink" Target="https://ec.europa.eu/eurostat/databrowser/view/UNE_RT_M__custom_13628424/default/table?lang=en\" TargetMode="External"/><Relationship Id="rId28" Type="http://schemas.openxmlformats.org/officeDocument/2006/relationships/hyperlink" Target="https://www.statistics.gr/el/statistics/-/publication/SEL12" TargetMode="External"/><Relationship Id="rId36" Type="http://schemas.openxmlformats.org/officeDocument/2006/relationships/hyperlink" Target="https://www.bankofgreece.gr/statistika/nomismatikh-kai-trapezikh-statistiki/epitokia-katathesewn-kai-daneiwn" TargetMode="External"/><Relationship Id="rId10" Type="http://schemas.openxmlformats.org/officeDocument/2006/relationships/hyperlink" Target="https://wirecyprus.atlassian.net/browse/WIRE-1544" TargetMode="External"/><Relationship Id="rId19" Type="http://schemas.openxmlformats.org/officeDocument/2006/relationships/hyperlink" Target="https://www.bankofgreece.gr/en/statistics/real-estate-market/residential-and-commercial-property-price-indices-and-other-short-term-indices" TargetMode="External"/><Relationship Id="rId31" Type="http://schemas.openxmlformats.org/officeDocument/2006/relationships/hyperlink" Target="https://economy-finance.ec.europa.eu/economic-surveillance-eu-economies/greece/economic-forecast-greece_en" TargetMode="External"/><Relationship Id="rId44" Type="http://schemas.openxmlformats.org/officeDocument/2006/relationships/hyperlink" Target="https://www.bankofgreece.gr/en/statistics/external-sector/direct-investment/direct-investment---flows" TargetMode="External"/><Relationship Id="rId4" Type="http://schemas.openxmlformats.org/officeDocument/2006/relationships/hyperlink" Target="https://wirecyprus.atlassian.net/browse/WIRE-1535" TargetMode="External"/><Relationship Id="rId9" Type="http://schemas.openxmlformats.org/officeDocument/2006/relationships/hyperlink" Target="https://wirecyprus.atlassian.net/browse/WIRE-1542" TargetMode="External"/><Relationship Id="rId14" Type="http://schemas.openxmlformats.org/officeDocument/2006/relationships/hyperlink" Target="https://www.statistics.gr/en/statistics?p_p_id=documents_WAR_publicationsportlet_INSTANCE_Mr0GiQJSgPHd&amp;p_p_lifecycle=2&amp;p_p_state=normal&amp;p_p_mode=view&amp;p_p_cacheability=cacheLevelPage&amp;p_p_col_id=column-2&amp;p_p_col_count=4&amp;p_p_col_pos=3&amp;_documents_WAR_publicationsportlet_INSTANCE_Mr0GiQJSgPHd_javax.faces.resource=document&amp;_documents_WAR_publicationsportlet_INSTANCE_Mr0GiQJSgPHd_ln=downloadResources&amp;_documents_WAR_publicationsportlet_INSTANCE_Mr0GiQJSgPHd_documentID=114794&amp;_documents_WAR_publicationsportlet_INSTANCE_Mr0GiQJSgPHd_locale=en" TargetMode="External"/><Relationship Id="rId22" Type="http://schemas.openxmlformats.org/officeDocument/2006/relationships/hyperlink" Target="https://www.statistics.gr/en/statistics/-/publication/SOP03/-" TargetMode="External"/><Relationship Id="rId27" Type="http://schemas.openxmlformats.org/officeDocument/2006/relationships/hyperlink" Target="https://www.statistics.gr/en/statistics/-/publication/SOP03" TargetMode="External"/><Relationship Id="rId30" Type="http://schemas.openxmlformats.org/officeDocument/2006/relationships/hyperlink" Target="https://www.bankofgreece.gr/statistika/agora-akinhtwn/deiktes-timwn-oikistikwn-kai-epaggelmatikwn-akinhtwnwn" TargetMode="External"/><Relationship Id="rId35" Type="http://schemas.openxmlformats.org/officeDocument/2006/relationships/hyperlink" Target="https://www.statistics.gr/en/statistics/-/publication/SEL30/-" TargetMode="External"/><Relationship Id="rId43" Type="http://schemas.openxmlformats.org/officeDocument/2006/relationships/hyperlink" Target="https://www.bankofgreece.gr/en/statistics/external-sector/direct-investment/direct-investment---flows" TargetMode="External"/><Relationship Id="rId8" Type="http://schemas.openxmlformats.org/officeDocument/2006/relationships/hyperlink" Target="file:///\\10.100.10.10\..\KonstantinaVioni\AppData\Local\Microsoft\Windows\INetCache\Content.Outlook\XD896JT3\WIRE-1541" TargetMode="External"/><Relationship Id="rId3" Type="http://schemas.openxmlformats.org/officeDocument/2006/relationships/hyperlink" Target="https://wirecyprus.atlassian.net/browse/WIRE-1534" TargetMode="External"/><Relationship Id="rId12" Type="http://schemas.openxmlformats.org/officeDocument/2006/relationships/hyperlink" Target="https://wirecyprus.atlassian.net/browse/WIRE-1560" TargetMode="External"/><Relationship Id="rId17" Type="http://schemas.openxmlformats.org/officeDocument/2006/relationships/hyperlink" Target="https://www.statistics.gr/en/statistics/-/publication/DKT66" TargetMode="External"/><Relationship Id="rId25" Type="http://schemas.openxmlformats.org/officeDocument/2006/relationships/hyperlink" Target="https://www.statistics.gr/en/statistics/-/publication/SFC02" TargetMode="External"/><Relationship Id="rId33" Type="http://schemas.openxmlformats.org/officeDocument/2006/relationships/hyperlink" Target="https://www.statistics.gr/en/statistics/-/publication/SEL81/-" TargetMode="External"/><Relationship Id="rId38" Type="http://schemas.openxmlformats.org/officeDocument/2006/relationships/hyperlink" Target="https://www.statistics.gr/en/statistics/-/publication/DKT45/-" TargetMode="External"/><Relationship Id="rId46" Type="http://schemas.openxmlformats.org/officeDocument/2006/relationships/printerSettings" Target="../printerSettings/printerSettings2.bin"/><Relationship Id="rId20" Type="http://schemas.openxmlformats.org/officeDocument/2006/relationships/hyperlink" Target="https://ec.europa.eu/eurostat/databrowser/view/teibs010/default/table?lang=en" TargetMode="External"/><Relationship Id="rId41" Type="http://schemas.openxmlformats.org/officeDocument/2006/relationships/hyperlink" Target="https://www.bankofgreece.gr/en/statistics/real-estate-market/residential-and-commercial-property-price-indices-and-other-short-term-indices"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cystatdb.cystat.gov.cy/pxweb/en/8.CYSTAT-DB/8.CYSTAT-DB__Tourism__Tourists__Monthly/2021010E.px/" TargetMode="External"/><Relationship Id="rId3" Type="http://schemas.openxmlformats.org/officeDocument/2006/relationships/hyperlink" Target="https://economy-finance.ec.europa.eu/economic-surveillance-eu-economies/cyprus/economic-forecast-cyprus_en" TargetMode="External"/><Relationship Id="rId7" Type="http://schemas.openxmlformats.org/officeDocument/2006/relationships/hyperlink" Target="https://www.centralbank.cy/en/licensing-supervision/banks/aggregate-cyprus-banking-sector-data" TargetMode="External"/><Relationship Id="rId2" Type="http://schemas.openxmlformats.org/officeDocument/2006/relationships/hyperlink" Target="https://www.centralbank.cy/en/publications/monetary-and-financial-statistics/year-2025" TargetMode="External"/><Relationship Id="rId1" Type="http://schemas.openxmlformats.org/officeDocument/2006/relationships/hyperlink" Target="https://cystatdb.cystat.gov.cy/pxweb/en/8.CYSTAT-DB/8.CYSTAT-DB__Price%20Indices__Consumer%20Price%20Index/0410010E.px/table/tableViewLayout1/" TargetMode="External"/><Relationship Id="rId6" Type="http://schemas.openxmlformats.org/officeDocument/2006/relationships/hyperlink" Target="https://cystatdb.cystat.gov.cy/pxweb/en/8.CYSTAT-DB/8.CYSTAT-DB__Tourism__Revenue%20from%20Tourism__Monthly/2031024E.px/" TargetMode="External"/><Relationship Id="rId5" Type="http://schemas.openxmlformats.org/officeDocument/2006/relationships/hyperlink" Target="https://cystatdb.cystat.gov.cy/pxweb/en/8.CYSTAT-DB/8.CYSTAT-DB__Labour%20Cost%20and%20Earnings__Earnings/1110060E.px/" TargetMode="External"/><Relationship Id="rId4" Type="http://schemas.openxmlformats.org/officeDocument/2006/relationships/hyperlink" Target="https://cystatdb.cystat.gov.cy/pxweb/en/8.CYSTAT-DB/8.CYSTAT-DB__National%20Accounts__Annual%20National%20Accounts/0610050E.px/" TargetMode="External"/><Relationship Id="rId9" Type="http://schemas.openxmlformats.org/officeDocument/2006/relationships/hyperlink" Target="https://cystatdb.cystat.gov.cy/pxweb/en/8.CYSTAT-DB/8.CYSTAT-DB__Tourism__Revenue%20from%20Tourism__Monthly/2031010E.p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8D98E8-93DA-4F62-8F7C-6A12E797B8BA}">
  <dimension ref="A1:P59"/>
  <sheetViews>
    <sheetView showGridLines="0" zoomScale="55" zoomScaleNormal="55" workbookViewId="0">
      <pane xSplit="1" ySplit="1" topLeftCell="G19" activePane="bottomRight" state="frozen"/>
      <selection pane="topRight" activeCell="B1" sqref="B1"/>
      <selection pane="bottomLeft" activeCell="A2" sqref="A2"/>
      <selection pane="bottomRight" activeCell="N41" sqref="N41"/>
    </sheetView>
  </sheetViews>
  <sheetFormatPr defaultColWidth="9.28515625" defaultRowHeight="15" x14ac:dyDescent="0.25"/>
  <cols>
    <col min="1" max="1" width="67.28515625" style="9" bestFit="1" customWidth="1"/>
    <col min="2" max="2" width="42.42578125" style="9" customWidth="1"/>
    <col min="3" max="3" width="29.28515625" style="9" customWidth="1"/>
    <col min="4" max="4" width="13.85546875" style="9" bestFit="1" customWidth="1"/>
    <col min="5" max="5" width="14.7109375" style="9" customWidth="1"/>
    <col min="6" max="6" width="11.7109375" style="9" bestFit="1" customWidth="1"/>
    <col min="7" max="7" width="11.42578125" style="9" bestFit="1" customWidth="1"/>
    <col min="8" max="8" width="9" style="9" bestFit="1" customWidth="1"/>
    <col min="9" max="9" width="10.42578125" style="9" customWidth="1"/>
    <col min="10" max="10" width="12.140625" style="9" customWidth="1"/>
    <col min="11" max="11" width="21.7109375" style="9" customWidth="1"/>
    <col min="12" max="12" width="18.140625" style="11" customWidth="1"/>
    <col min="13" max="13" width="31.140625" style="11" customWidth="1"/>
    <col min="14" max="14" width="36.42578125" style="11" customWidth="1"/>
    <col min="15" max="15" width="9.28515625" style="11"/>
    <col min="16" max="16" width="37" style="1" customWidth="1"/>
    <col min="17" max="16384" width="9.28515625" style="1"/>
  </cols>
  <sheetData>
    <row r="1" spans="1:16" s="2" customFormat="1" ht="15" customHeight="1" x14ac:dyDescent="0.25">
      <c r="A1" s="6" t="s">
        <v>0</v>
      </c>
      <c r="B1" s="6" t="s">
        <v>1</v>
      </c>
      <c r="C1" s="6" t="s">
        <v>2</v>
      </c>
      <c r="D1" s="6" t="s">
        <v>3</v>
      </c>
      <c r="E1" s="6" t="s">
        <v>4</v>
      </c>
      <c r="F1" s="6" t="s">
        <v>5</v>
      </c>
      <c r="G1" s="6" t="s">
        <v>6</v>
      </c>
      <c r="H1" s="6" t="s">
        <v>7</v>
      </c>
      <c r="I1" s="6" t="s">
        <v>8</v>
      </c>
      <c r="J1" s="6" t="s">
        <v>9</v>
      </c>
      <c r="K1" s="7" t="s">
        <v>174</v>
      </c>
      <c r="L1" s="8" t="s">
        <v>175</v>
      </c>
      <c r="M1" s="8" t="s">
        <v>260</v>
      </c>
      <c r="N1" s="8" t="s">
        <v>178</v>
      </c>
      <c r="O1" s="8" t="s">
        <v>187</v>
      </c>
      <c r="P1" s="8" t="s">
        <v>258</v>
      </c>
    </row>
    <row r="2" spans="1:16" ht="15" customHeight="1" x14ac:dyDescent="0.25">
      <c r="A2" s="3" t="s">
        <v>10</v>
      </c>
      <c r="B2" s="9" t="s">
        <v>11</v>
      </c>
      <c r="C2" s="9" t="s">
        <v>12</v>
      </c>
      <c r="D2" s="9" t="s">
        <v>13</v>
      </c>
      <c r="E2" s="9" t="s">
        <v>14</v>
      </c>
      <c r="F2" s="9" t="s">
        <v>15</v>
      </c>
      <c r="G2" s="9" t="s">
        <v>16</v>
      </c>
      <c r="H2" s="9" t="s">
        <v>17</v>
      </c>
      <c r="I2" s="9" t="s">
        <v>18</v>
      </c>
      <c r="J2" s="9" t="s">
        <v>19</v>
      </c>
      <c r="K2" s="9" t="s">
        <v>176</v>
      </c>
      <c r="L2" s="10" t="s">
        <v>177</v>
      </c>
      <c r="M2" s="10" t="s">
        <v>261</v>
      </c>
      <c r="N2" s="11" t="s">
        <v>179</v>
      </c>
      <c r="O2" s="11" t="s">
        <v>188</v>
      </c>
      <c r="P2" s="19" t="s">
        <v>259</v>
      </c>
    </row>
    <row r="3" spans="1:16" ht="15" customHeight="1" x14ac:dyDescent="0.25">
      <c r="A3" s="3" t="s">
        <v>10</v>
      </c>
      <c r="B3" s="47" t="s">
        <v>20</v>
      </c>
      <c r="C3" s="17" t="s">
        <v>21</v>
      </c>
      <c r="D3" s="9" t="s">
        <v>22</v>
      </c>
      <c r="E3" s="9" t="s">
        <v>14</v>
      </c>
      <c r="F3" s="9" t="s">
        <v>23</v>
      </c>
      <c r="G3" s="9">
        <v>2019</v>
      </c>
      <c r="H3" s="9">
        <v>2022</v>
      </c>
      <c r="I3" s="9">
        <v>2022</v>
      </c>
      <c r="J3" s="12" t="s">
        <v>24</v>
      </c>
      <c r="K3" s="9" t="s">
        <v>180</v>
      </c>
      <c r="L3" s="10" t="s">
        <v>274</v>
      </c>
      <c r="M3" s="20" t="s">
        <v>275</v>
      </c>
      <c r="N3" s="11" t="s">
        <v>276</v>
      </c>
      <c r="O3" s="11" t="s">
        <v>189</v>
      </c>
    </row>
    <row r="4" spans="1:16" ht="15" customHeight="1" x14ac:dyDescent="0.25">
      <c r="A4" s="3" t="s">
        <v>25</v>
      </c>
      <c r="B4" s="9" t="s">
        <v>26</v>
      </c>
      <c r="C4" s="5" t="s">
        <v>27</v>
      </c>
      <c r="D4" s="9" t="s">
        <v>28</v>
      </c>
      <c r="E4" s="9" t="s">
        <v>14</v>
      </c>
      <c r="F4" s="9" t="s">
        <v>15</v>
      </c>
      <c r="G4" s="13">
        <v>43466</v>
      </c>
      <c r="H4" s="13">
        <v>45139</v>
      </c>
      <c r="I4" s="13">
        <v>45231</v>
      </c>
      <c r="J4" s="9" t="s">
        <v>19</v>
      </c>
      <c r="K4" s="9" t="s">
        <v>183</v>
      </c>
      <c r="L4" s="10" t="s">
        <v>181</v>
      </c>
      <c r="M4" s="48" t="s">
        <v>262</v>
      </c>
      <c r="N4" s="11" t="s">
        <v>182</v>
      </c>
      <c r="O4" s="11" t="s">
        <v>188</v>
      </c>
      <c r="P4" s="19" t="s">
        <v>263</v>
      </c>
    </row>
    <row r="5" spans="1:16" ht="15" customHeight="1" x14ac:dyDescent="0.25">
      <c r="A5" s="3" t="s">
        <v>25</v>
      </c>
      <c r="B5" s="49" t="s">
        <v>29</v>
      </c>
      <c r="C5" s="9" t="s">
        <v>21</v>
      </c>
      <c r="D5" s="9" t="s">
        <v>13</v>
      </c>
      <c r="E5" s="9" t="s">
        <v>14</v>
      </c>
      <c r="F5" s="9" t="s">
        <v>23</v>
      </c>
      <c r="G5" s="13" t="s">
        <v>16</v>
      </c>
      <c r="H5" s="13" t="s">
        <v>18</v>
      </c>
      <c r="I5" s="13" t="s">
        <v>18</v>
      </c>
      <c r="J5" s="10" t="s">
        <v>30</v>
      </c>
      <c r="K5" s="9" t="s">
        <v>184</v>
      </c>
      <c r="L5" s="10" t="s">
        <v>185</v>
      </c>
      <c r="M5" s="10"/>
      <c r="N5" s="11" t="s">
        <v>186</v>
      </c>
      <c r="O5" s="11" t="s">
        <v>188</v>
      </c>
      <c r="P5" s="19" t="s">
        <v>340</v>
      </c>
    </row>
    <row r="6" spans="1:16" ht="15" customHeight="1" x14ac:dyDescent="0.25">
      <c r="A6" s="3" t="s">
        <v>31</v>
      </c>
      <c r="B6" s="9" t="s">
        <v>32</v>
      </c>
      <c r="C6" s="9" t="s">
        <v>33</v>
      </c>
      <c r="D6" s="9" t="s">
        <v>22</v>
      </c>
      <c r="E6" s="9" t="s">
        <v>14</v>
      </c>
      <c r="F6" s="9" t="s">
        <v>15</v>
      </c>
      <c r="G6" s="9">
        <v>2019</v>
      </c>
      <c r="H6" s="9">
        <v>2022</v>
      </c>
      <c r="I6" s="9">
        <v>2022</v>
      </c>
      <c r="J6" s="9" t="s">
        <v>21</v>
      </c>
      <c r="K6" s="9" t="s">
        <v>202</v>
      </c>
      <c r="L6" s="10" t="s">
        <v>256</v>
      </c>
      <c r="M6" s="48" t="s">
        <v>265</v>
      </c>
      <c r="N6" s="11" t="s">
        <v>257</v>
      </c>
      <c r="O6" s="11" t="s">
        <v>188</v>
      </c>
      <c r="P6" s="19" t="s">
        <v>264</v>
      </c>
    </row>
    <row r="7" spans="1:16" ht="15" customHeight="1" x14ac:dyDescent="0.25">
      <c r="A7" s="3" t="s">
        <v>31</v>
      </c>
      <c r="B7" s="50" t="s">
        <v>34</v>
      </c>
      <c r="C7" s="9" t="s">
        <v>21</v>
      </c>
      <c r="D7" s="9" t="s">
        <v>21</v>
      </c>
      <c r="E7" s="9" t="s">
        <v>14</v>
      </c>
      <c r="F7" s="9" t="s">
        <v>23</v>
      </c>
      <c r="G7" s="9" t="s">
        <v>21</v>
      </c>
      <c r="H7" s="9" t="s">
        <v>21</v>
      </c>
      <c r="I7" s="9" t="s">
        <v>21</v>
      </c>
      <c r="J7" s="10" t="s">
        <v>173</v>
      </c>
      <c r="K7" s="9" t="s">
        <v>204</v>
      </c>
      <c r="L7" s="10" t="s">
        <v>203</v>
      </c>
      <c r="M7" s="48" t="s">
        <v>266</v>
      </c>
      <c r="N7" s="11" t="s">
        <v>182</v>
      </c>
      <c r="O7" s="11" t="s">
        <v>188</v>
      </c>
      <c r="P7" s="19" t="s">
        <v>267</v>
      </c>
    </row>
    <row r="8" spans="1:16" ht="15" customHeight="1" x14ac:dyDescent="0.25">
      <c r="A8" s="3" t="s">
        <v>31</v>
      </c>
      <c r="B8" s="50" t="s">
        <v>36</v>
      </c>
      <c r="C8" s="9" t="s">
        <v>21</v>
      </c>
      <c r="D8" s="9" t="s">
        <v>21</v>
      </c>
      <c r="E8" s="9" t="s">
        <v>14</v>
      </c>
      <c r="F8" s="9" t="s">
        <v>23</v>
      </c>
      <c r="G8" s="9" t="s">
        <v>21</v>
      </c>
      <c r="H8" s="9" t="s">
        <v>21</v>
      </c>
      <c r="I8" s="9" t="s">
        <v>21</v>
      </c>
      <c r="J8" s="9" t="s">
        <v>173</v>
      </c>
      <c r="K8" s="9" t="s">
        <v>204</v>
      </c>
      <c r="L8" s="10" t="s">
        <v>203</v>
      </c>
      <c r="M8" s="48" t="s">
        <v>266</v>
      </c>
      <c r="N8" s="11" t="s">
        <v>182</v>
      </c>
      <c r="O8" s="11" t="s">
        <v>188</v>
      </c>
      <c r="P8" s="19" t="s">
        <v>267</v>
      </c>
    </row>
    <row r="9" spans="1:16" ht="15" customHeight="1" x14ac:dyDescent="0.25">
      <c r="A9" s="3" t="s">
        <v>37</v>
      </c>
      <c r="B9" s="9" t="s">
        <v>38</v>
      </c>
      <c r="C9" s="9" t="s">
        <v>39</v>
      </c>
      <c r="D9" s="9" t="s">
        <v>22</v>
      </c>
      <c r="E9" s="9" t="s">
        <v>40</v>
      </c>
      <c r="F9" s="9" t="s">
        <v>15</v>
      </c>
      <c r="G9" s="9">
        <v>2019</v>
      </c>
      <c r="H9" s="9">
        <v>2022</v>
      </c>
      <c r="I9" s="9">
        <v>2022</v>
      </c>
      <c r="J9" s="9" t="s">
        <v>21</v>
      </c>
      <c r="K9" s="9" t="s">
        <v>225</v>
      </c>
      <c r="L9" s="10" t="s">
        <v>250</v>
      </c>
      <c r="M9" s="10" t="s">
        <v>302</v>
      </c>
      <c r="N9" s="11" t="s">
        <v>276</v>
      </c>
      <c r="O9" s="11" t="s">
        <v>188</v>
      </c>
    </row>
    <row r="10" spans="1:16" ht="15" customHeight="1" x14ac:dyDescent="0.25">
      <c r="A10" s="3" t="s">
        <v>37</v>
      </c>
      <c r="B10" s="9" t="s">
        <v>41</v>
      </c>
      <c r="C10" s="5" t="s">
        <v>42</v>
      </c>
      <c r="D10" s="9" t="s">
        <v>22</v>
      </c>
      <c r="E10" s="9" t="s">
        <v>40</v>
      </c>
      <c r="F10" s="9" t="s">
        <v>15</v>
      </c>
      <c r="G10" s="9">
        <v>2019</v>
      </c>
      <c r="H10" s="9">
        <v>2022</v>
      </c>
      <c r="I10" s="9">
        <v>2022</v>
      </c>
      <c r="J10" s="9" t="s">
        <v>21</v>
      </c>
      <c r="K10" s="9" t="s">
        <v>226</v>
      </c>
      <c r="L10" s="10" t="s">
        <v>250</v>
      </c>
      <c r="M10" s="10" t="s">
        <v>303</v>
      </c>
      <c r="N10" s="11" t="s">
        <v>276</v>
      </c>
      <c r="O10" s="11" t="s">
        <v>188</v>
      </c>
    </row>
    <row r="11" spans="1:16" ht="15" customHeight="1" x14ac:dyDescent="0.25">
      <c r="A11" s="3" t="s">
        <v>43</v>
      </c>
      <c r="B11" s="9" t="s">
        <v>44</v>
      </c>
      <c r="C11" s="5" t="s">
        <v>45</v>
      </c>
      <c r="D11" s="9" t="s">
        <v>28</v>
      </c>
      <c r="E11" s="9" t="s">
        <v>14</v>
      </c>
      <c r="F11" s="9" t="s">
        <v>15</v>
      </c>
      <c r="G11" s="13">
        <v>43466</v>
      </c>
      <c r="H11" s="13">
        <v>45139</v>
      </c>
      <c r="I11" s="13">
        <v>45261</v>
      </c>
      <c r="J11" s="9" t="s">
        <v>19</v>
      </c>
      <c r="K11" s="9" t="s">
        <v>190</v>
      </c>
      <c r="L11" s="10" t="s">
        <v>191</v>
      </c>
      <c r="M11" s="10"/>
      <c r="N11" s="11" t="s">
        <v>192</v>
      </c>
      <c r="O11" s="11" t="s">
        <v>188</v>
      </c>
      <c r="P11" s="19" t="s">
        <v>277</v>
      </c>
    </row>
    <row r="12" spans="1:16" ht="15" customHeight="1" x14ac:dyDescent="0.25">
      <c r="A12" s="3" t="s">
        <v>43</v>
      </c>
      <c r="B12" s="9" t="s">
        <v>46</v>
      </c>
      <c r="C12" s="5" t="s">
        <v>47</v>
      </c>
      <c r="D12" s="9" t="s">
        <v>28</v>
      </c>
      <c r="E12" s="9" t="s">
        <v>40</v>
      </c>
      <c r="F12" s="9" t="s">
        <v>15</v>
      </c>
      <c r="G12" s="13">
        <v>43466</v>
      </c>
      <c r="H12" s="13">
        <v>45078</v>
      </c>
      <c r="I12" s="13">
        <v>45231</v>
      </c>
      <c r="J12" s="9" t="s">
        <v>19</v>
      </c>
      <c r="K12" s="9" t="s">
        <v>238</v>
      </c>
      <c r="L12" s="10" t="s">
        <v>236</v>
      </c>
      <c r="M12" s="10"/>
      <c r="N12" s="11" t="s">
        <v>239</v>
      </c>
      <c r="O12" s="11" t="s">
        <v>188</v>
      </c>
      <c r="P12" s="19" t="s">
        <v>318</v>
      </c>
    </row>
    <row r="13" spans="1:16" ht="15" customHeight="1" x14ac:dyDescent="0.25">
      <c r="A13" s="3" t="s">
        <v>43</v>
      </c>
      <c r="B13" s="9" t="s">
        <v>48</v>
      </c>
      <c r="C13" s="5" t="s">
        <v>49</v>
      </c>
      <c r="D13" s="9" t="s">
        <v>28</v>
      </c>
      <c r="E13" s="9" t="s">
        <v>40</v>
      </c>
      <c r="F13" s="9" t="s">
        <v>15</v>
      </c>
      <c r="G13" s="13">
        <v>43466</v>
      </c>
      <c r="H13" s="13">
        <v>45078</v>
      </c>
      <c r="I13" s="13">
        <v>45231</v>
      </c>
      <c r="J13" s="9" t="s">
        <v>19</v>
      </c>
      <c r="K13" s="9" t="s">
        <v>237</v>
      </c>
      <c r="L13" s="10" t="s">
        <v>236</v>
      </c>
      <c r="M13" s="10"/>
      <c r="N13" s="11" t="s">
        <v>239</v>
      </c>
      <c r="O13" s="11" t="s">
        <v>188</v>
      </c>
      <c r="P13" s="19" t="s">
        <v>317</v>
      </c>
    </row>
    <row r="14" spans="1:16" ht="15" customHeight="1" x14ac:dyDescent="0.25">
      <c r="A14" s="3" t="s">
        <v>50</v>
      </c>
      <c r="B14" s="9" t="s">
        <v>51</v>
      </c>
      <c r="C14" s="5" t="s">
        <v>52</v>
      </c>
      <c r="D14" s="9" t="s">
        <v>13</v>
      </c>
      <c r="E14" s="9" t="s">
        <v>14</v>
      </c>
      <c r="F14" s="9" t="s">
        <v>15</v>
      </c>
      <c r="G14" s="9" t="s">
        <v>16</v>
      </c>
      <c r="H14" s="9" t="s">
        <v>17</v>
      </c>
      <c r="I14" s="9" t="s">
        <v>17</v>
      </c>
      <c r="J14" s="9" t="s">
        <v>21</v>
      </c>
      <c r="K14" s="9" t="s">
        <v>249</v>
      </c>
      <c r="L14" s="10" t="s">
        <v>304</v>
      </c>
      <c r="M14" s="48" t="s">
        <v>305</v>
      </c>
      <c r="O14" s="11" t="s">
        <v>188</v>
      </c>
      <c r="P14" s="19" t="s">
        <v>306</v>
      </c>
    </row>
    <row r="15" spans="1:16" ht="15" customHeight="1" x14ac:dyDescent="0.25">
      <c r="A15" s="3" t="s">
        <v>50</v>
      </c>
      <c r="B15" s="9" t="s">
        <v>53</v>
      </c>
      <c r="C15" s="5" t="s">
        <v>54</v>
      </c>
      <c r="D15" s="9" t="s">
        <v>13</v>
      </c>
      <c r="E15" s="9" t="s">
        <v>14</v>
      </c>
      <c r="F15" s="9" t="s">
        <v>15</v>
      </c>
      <c r="G15" s="9" t="s">
        <v>16</v>
      </c>
      <c r="H15" s="9" t="s">
        <v>17</v>
      </c>
      <c r="I15" s="9" t="s">
        <v>17</v>
      </c>
      <c r="J15" s="9" t="s">
        <v>21</v>
      </c>
      <c r="K15" s="9" t="s">
        <v>307</v>
      </c>
      <c r="L15" s="10" t="s">
        <v>309</v>
      </c>
      <c r="M15" s="48" t="s">
        <v>310</v>
      </c>
      <c r="N15" s="11" t="s">
        <v>308</v>
      </c>
      <c r="O15" s="11" t="s">
        <v>188</v>
      </c>
      <c r="P15" s="19" t="s">
        <v>311</v>
      </c>
    </row>
    <row r="16" spans="1:16" ht="15" customHeight="1" x14ac:dyDescent="0.25">
      <c r="A16" s="3" t="s">
        <v>55</v>
      </c>
      <c r="B16" s="9" t="s">
        <v>56</v>
      </c>
      <c r="C16" s="5" t="s">
        <v>57</v>
      </c>
      <c r="D16" s="9" t="s">
        <v>13</v>
      </c>
      <c r="E16" s="9" t="s">
        <v>14</v>
      </c>
      <c r="F16" s="9" t="s">
        <v>15</v>
      </c>
      <c r="G16" s="9" t="s">
        <v>16</v>
      </c>
      <c r="H16" s="9" t="s">
        <v>58</v>
      </c>
      <c r="I16" s="13" t="s">
        <v>18</v>
      </c>
      <c r="J16" s="9" t="s">
        <v>19</v>
      </c>
      <c r="K16" s="9" t="s">
        <v>255</v>
      </c>
      <c r="L16" s="10" t="s">
        <v>254</v>
      </c>
      <c r="M16" s="48" t="s">
        <v>278</v>
      </c>
      <c r="N16" s="11" t="s">
        <v>179</v>
      </c>
      <c r="O16" s="11" t="s">
        <v>188</v>
      </c>
      <c r="P16" s="19" t="s">
        <v>279</v>
      </c>
    </row>
    <row r="17" spans="1:16" x14ac:dyDescent="0.25">
      <c r="A17" s="3" t="s">
        <v>55</v>
      </c>
      <c r="B17" s="9" t="s">
        <v>59</v>
      </c>
      <c r="C17" s="5" t="s">
        <v>60</v>
      </c>
      <c r="D17" s="9" t="s">
        <v>13</v>
      </c>
      <c r="E17" s="9" t="s">
        <v>14</v>
      </c>
      <c r="F17" s="9" t="s">
        <v>15</v>
      </c>
      <c r="G17" s="13">
        <v>43466</v>
      </c>
      <c r="H17" s="13">
        <v>45078</v>
      </c>
      <c r="I17" s="13">
        <v>45170</v>
      </c>
      <c r="J17" s="9" t="s">
        <v>19</v>
      </c>
      <c r="K17" s="9" t="s">
        <v>280</v>
      </c>
      <c r="L17" s="10" t="s">
        <v>246</v>
      </c>
      <c r="M17" s="10" t="s">
        <v>281</v>
      </c>
      <c r="N17" s="11" t="s">
        <v>247</v>
      </c>
      <c r="O17" s="11" t="s">
        <v>188</v>
      </c>
      <c r="P17" s="19" t="s">
        <v>282</v>
      </c>
    </row>
    <row r="18" spans="1:16" ht="15" customHeight="1" x14ac:dyDescent="0.25">
      <c r="A18" s="3" t="s">
        <v>55</v>
      </c>
      <c r="B18" s="9" t="s">
        <v>61</v>
      </c>
      <c r="C18" s="5" t="s">
        <v>62</v>
      </c>
      <c r="D18" s="9" t="s">
        <v>13</v>
      </c>
      <c r="E18" s="9" t="s">
        <v>14</v>
      </c>
      <c r="F18" s="9" t="s">
        <v>15</v>
      </c>
      <c r="G18" s="13">
        <v>43466</v>
      </c>
      <c r="H18" s="13">
        <v>45078</v>
      </c>
      <c r="I18" s="13">
        <v>45170</v>
      </c>
      <c r="J18" s="9" t="s">
        <v>19</v>
      </c>
      <c r="K18" s="9" t="s">
        <v>242</v>
      </c>
      <c r="L18" s="10" t="s">
        <v>241</v>
      </c>
      <c r="M18" s="21" t="s">
        <v>283</v>
      </c>
      <c r="N18" s="11" t="s">
        <v>245</v>
      </c>
      <c r="O18" s="11" t="s">
        <v>188</v>
      </c>
      <c r="P18" s="19" t="s">
        <v>284</v>
      </c>
    </row>
    <row r="19" spans="1:16" ht="15" customHeight="1" x14ac:dyDescent="0.25">
      <c r="A19" s="3" t="s">
        <v>55</v>
      </c>
      <c r="B19" s="9" t="s">
        <v>63</v>
      </c>
      <c r="C19" s="5" t="s">
        <v>64</v>
      </c>
      <c r="D19" s="9" t="s">
        <v>13</v>
      </c>
      <c r="E19" s="9" t="s">
        <v>14</v>
      </c>
      <c r="F19" s="9" t="s">
        <v>15</v>
      </c>
      <c r="G19" s="13">
        <v>43466</v>
      </c>
      <c r="H19" s="13">
        <v>45078</v>
      </c>
      <c r="I19" s="13">
        <v>45170</v>
      </c>
      <c r="J19" s="9" t="s">
        <v>19</v>
      </c>
      <c r="K19" s="9" t="s">
        <v>243</v>
      </c>
      <c r="L19" s="10" t="s">
        <v>244</v>
      </c>
      <c r="M19" s="48" t="s">
        <v>287</v>
      </c>
      <c r="N19" s="11" t="s">
        <v>245</v>
      </c>
      <c r="O19" s="11" t="s">
        <v>188</v>
      </c>
      <c r="P19" s="19" t="s">
        <v>285</v>
      </c>
    </row>
    <row r="20" spans="1:16" ht="15" customHeight="1" x14ac:dyDescent="0.25">
      <c r="A20" s="3" t="s">
        <v>65</v>
      </c>
      <c r="B20" s="9" t="s">
        <v>66</v>
      </c>
      <c r="C20" s="5" t="s">
        <v>67</v>
      </c>
      <c r="D20" s="9" t="s">
        <v>13</v>
      </c>
      <c r="E20" s="9" t="s">
        <v>14</v>
      </c>
      <c r="F20" s="9" t="s">
        <v>15</v>
      </c>
      <c r="G20" s="9" t="s">
        <v>16</v>
      </c>
      <c r="H20" s="9" t="s">
        <v>17</v>
      </c>
      <c r="I20" s="9" t="s">
        <v>18</v>
      </c>
      <c r="J20" s="9" t="s">
        <v>19</v>
      </c>
      <c r="K20" s="9" t="s">
        <v>213</v>
      </c>
      <c r="L20" s="10" t="s">
        <v>214</v>
      </c>
      <c r="M20" s="10"/>
      <c r="N20" s="11" t="s">
        <v>186</v>
      </c>
      <c r="O20" s="11" t="s">
        <v>188</v>
      </c>
    </row>
    <row r="21" spans="1:16" ht="15" customHeight="1" x14ac:dyDescent="0.25">
      <c r="A21" s="3" t="s">
        <v>68</v>
      </c>
      <c r="B21" s="9" t="s">
        <v>69</v>
      </c>
      <c r="C21" s="9" t="s">
        <v>70</v>
      </c>
      <c r="D21" s="9" t="s">
        <v>13</v>
      </c>
      <c r="E21" s="9" t="s">
        <v>14</v>
      </c>
      <c r="F21" s="9" t="s">
        <v>15</v>
      </c>
      <c r="G21" s="9" t="s">
        <v>16</v>
      </c>
      <c r="H21" s="9" t="s">
        <v>17</v>
      </c>
      <c r="I21" s="9" t="s">
        <v>18</v>
      </c>
      <c r="J21" s="9" t="s">
        <v>19</v>
      </c>
      <c r="K21" s="9" t="s">
        <v>213</v>
      </c>
      <c r="L21" s="10" t="s">
        <v>253</v>
      </c>
      <c r="M21" s="22" t="s">
        <v>286</v>
      </c>
      <c r="N21" s="11" t="s">
        <v>245</v>
      </c>
      <c r="O21" s="11" t="s">
        <v>188</v>
      </c>
      <c r="P21" s="19" t="s">
        <v>288</v>
      </c>
    </row>
    <row r="22" spans="1:16" ht="15" customHeight="1" x14ac:dyDescent="0.25">
      <c r="A22" s="3" t="s">
        <v>71</v>
      </c>
      <c r="B22" s="9" t="s">
        <v>72</v>
      </c>
      <c r="C22" s="9" t="s">
        <v>73</v>
      </c>
      <c r="D22" s="9" t="s">
        <v>13</v>
      </c>
      <c r="E22" s="9" t="s">
        <v>14</v>
      </c>
      <c r="F22" s="9" t="s">
        <v>15</v>
      </c>
      <c r="G22" s="9" t="s">
        <v>16</v>
      </c>
      <c r="H22" s="9" t="s">
        <v>58</v>
      </c>
      <c r="I22" s="9" t="s">
        <v>18</v>
      </c>
      <c r="J22" s="9" t="s">
        <v>19</v>
      </c>
      <c r="K22" s="9" t="s">
        <v>215</v>
      </c>
      <c r="L22" s="10" t="s">
        <v>289</v>
      </c>
      <c r="M22" s="10" t="s">
        <v>319</v>
      </c>
      <c r="N22" s="11" t="s">
        <v>216</v>
      </c>
      <c r="O22" s="11" t="s">
        <v>188</v>
      </c>
      <c r="P22" s="19" t="s">
        <v>290</v>
      </c>
    </row>
    <row r="23" spans="1:16" ht="15" customHeight="1" x14ac:dyDescent="0.25">
      <c r="A23" s="3" t="s">
        <v>74</v>
      </c>
      <c r="B23" s="9" t="s">
        <v>75</v>
      </c>
      <c r="C23" s="9" t="s">
        <v>76</v>
      </c>
      <c r="D23" s="9" t="s">
        <v>28</v>
      </c>
      <c r="E23" s="9" t="s">
        <v>14</v>
      </c>
      <c r="F23" s="9" t="s">
        <v>15</v>
      </c>
      <c r="G23" s="13">
        <v>43466</v>
      </c>
      <c r="H23" s="13">
        <v>45078</v>
      </c>
      <c r="I23" s="13">
        <v>45170</v>
      </c>
      <c r="J23" s="9" t="s">
        <v>19</v>
      </c>
      <c r="K23" s="9" t="s">
        <v>205</v>
      </c>
      <c r="L23" s="10" t="s">
        <v>206</v>
      </c>
      <c r="M23" s="23" t="s">
        <v>291</v>
      </c>
      <c r="N23" s="11" t="s">
        <v>207</v>
      </c>
      <c r="O23" s="11" t="s">
        <v>188</v>
      </c>
      <c r="P23" s="19" t="s">
        <v>292</v>
      </c>
    </row>
    <row r="24" spans="1:16" ht="15" customHeight="1" x14ac:dyDescent="0.25">
      <c r="A24" s="3" t="s">
        <v>74</v>
      </c>
      <c r="B24" s="9" t="s">
        <v>77</v>
      </c>
      <c r="C24" s="9" t="s">
        <v>78</v>
      </c>
      <c r="D24" s="9" t="s">
        <v>28</v>
      </c>
      <c r="E24" s="9" t="s">
        <v>14</v>
      </c>
      <c r="F24" s="9" t="s">
        <v>15</v>
      </c>
      <c r="G24" s="13">
        <v>43466</v>
      </c>
      <c r="H24" s="13">
        <v>45078</v>
      </c>
      <c r="I24" s="13">
        <v>45170</v>
      </c>
      <c r="J24" s="9" t="s">
        <v>19</v>
      </c>
      <c r="K24" s="9" t="s">
        <v>205</v>
      </c>
      <c r="L24" s="10" t="s">
        <v>206</v>
      </c>
      <c r="M24" s="23" t="s">
        <v>291</v>
      </c>
      <c r="N24" s="11" t="s">
        <v>207</v>
      </c>
      <c r="O24" s="11" t="s">
        <v>188</v>
      </c>
      <c r="P24" s="19" t="s">
        <v>292</v>
      </c>
    </row>
    <row r="25" spans="1:16" ht="15" customHeight="1" x14ac:dyDescent="0.25">
      <c r="A25" s="3" t="s">
        <v>79</v>
      </c>
      <c r="B25" s="51" t="s">
        <v>80</v>
      </c>
      <c r="C25" s="9" t="s">
        <v>21</v>
      </c>
      <c r="D25" s="9" t="s">
        <v>28</v>
      </c>
      <c r="E25" s="9" t="s">
        <v>14</v>
      </c>
      <c r="F25" s="9" t="s">
        <v>23</v>
      </c>
      <c r="G25" s="13">
        <v>43466</v>
      </c>
      <c r="H25" s="13">
        <v>45170</v>
      </c>
      <c r="I25" s="13">
        <v>45170</v>
      </c>
      <c r="J25" s="10" t="s">
        <v>81</v>
      </c>
      <c r="K25" s="9" t="s">
        <v>208</v>
      </c>
      <c r="L25" s="10" t="s">
        <v>206</v>
      </c>
      <c r="M25" s="48" t="s">
        <v>294</v>
      </c>
      <c r="N25" s="11" t="s">
        <v>207</v>
      </c>
      <c r="O25" s="11" t="s">
        <v>188</v>
      </c>
      <c r="P25" s="19" t="s">
        <v>293</v>
      </c>
    </row>
    <row r="26" spans="1:16" ht="15" customHeight="1" x14ac:dyDescent="0.25">
      <c r="A26" s="3" t="s">
        <v>79</v>
      </c>
      <c r="B26" s="9" t="s">
        <v>82</v>
      </c>
      <c r="C26" s="9" t="s">
        <v>83</v>
      </c>
      <c r="D26" s="9" t="s">
        <v>28</v>
      </c>
      <c r="E26" s="9" t="s">
        <v>14</v>
      </c>
      <c r="F26" s="9" t="s">
        <v>15</v>
      </c>
      <c r="G26" s="13">
        <v>43466</v>
      </c>
      <c r="H26" s="13">
        <v>45108</v>
      </c>
      <c r="I26" s="13">
        <v>45170</v>
      </c>
      <c r="J26" s="9" t="s">
        <v>19</v>
      </c>
      <c r="K26" s="9" t="s">
        <v>295</v>
      </c>
      <c r="L26" s="10" t="s">
        <v>206</v>
      </c>
      <c r="M26" s="48" t="s">
        <v>296</v>
      </c>
      <c r="N26" s="11" t="s">
        <v>207</v>
      </c>
      <c r="O26" s="11" t="s">
        <v>188</v>
      </c>
      <c r="P26" s="19" t="s">
        <v>297</v>
      </c>
    </row>
    <row r="27" spans="1:16" ht="15" customHeight="1" x14ac:dyDescent="0.25">
      <c r="A27" s="3" t="s">
        <v>79</v>
      </c>
      <c r="B27" s="9" t="s">
        <v>84</v>
      </c>
      <c r="C27" s="9" t="s">
        <v>85</v>
      </c>
      <c r="D27" s="9" t="s">
        <v>28</v>
      </c>
      <c r="E27" s="9" t="s">
        <v>14</v>
      </c>
      <c r="F27" s="9" t="s">
        <v>15</v>
      </c>
      <c r="G27" s="13">
        <v>43466</v>
      </c>
      <c r="H27" s="13">
        <v>45108</v>
      </c>
      <c r="I27" s="13">
        <v>45170</v>
      </c>
      <c r="J27" s="9" t="s">
        <v>19</v>
      </c>
      <c r="K27" s="9" t="s">
        <v>298</v>
      </c>
      <c r="L27" s="10" t="s">
        <v>299</v>
      </c>
      <c r="M27" s="10" t="s">
        <v>300</v>
      </c>
      <c r="N27" s="11" t="s">
        <v>207</v>
      </c>
      <c r="O27" s="11" t="s">
        <v>188</v>
      </c>
      <c r="P27" s="19" t="s">
        <v>301</v>
      </c>
    </row>
    <row r="28" spans="1:16" ht="15" customHeight="1" x14ac:dyDescent="0.25">
      <c r="A28" s="3" t="s">
        <v>86</v>
      </c>
      <c r="B28" s="9" t="s">
        <v>87</v>
      </c>
      <c r="C28" s="9" t="s">
        <v>88</v>
      </c>
      <c r="D28" s="9" t="s">
        <v>28</v>
      </c>
      <c r="E28" s="9" t="s">
        <v>40</v>
      </c>
      <c r="F28" s="9" t="s">
        <v>15</v>
      </c>
      <c r="G28" s="13">
        <v>43466</v>
      </c>
      <c r="H28" s="13">
        <v>45078</v>
      </c>
      <c r="I28" s="13">
        <v>45231</v>
      </c>
      <c r="J28" s="9" t="s">
        <v>19</v>
      </c>
      <c r="K28" s="9" t="s">
        <v>238</v>
      </c>
      <c r="L28" s="10" t="s">
        <v>252</v>
      </c>
      <c r="M28" s="10"/>
      <c r="N28" s="11" t="s">
        <v>251</v>
      </c>
      <c r="O28" s="11" t="s">
        <v>188</v>
      </c>
      <c r="P28" s="19" t="s">
        <v>318</v>
      </c>
    </row>
    <row r="29" spans="1:16" ht="15" customHeight="1" x14ac:dyDescent="0.25">
      <c r="A29" s="3" t="s">
        <v>86</v>
      </c>
      <c r="B29" s="9" t="s">
        <v>89</v>
      </c>
      <c r="C29" s="9" t="s">
        <v>90</v>
      </c>
      <c r="D29" s="9" t="s">
        <v>28</v>
      </c>
      <c r="E29" s="9" t="s">
        <v>40</v>
      </c>
      <c r="F29" s="9" t="s">
        <v>15</v>
      </c>
      <c r="G29" s="13">
        <v>43466</v>
      </c>
      <c r="H29" s="13">
        <v>45078</v>
      </c>
      <c r="I29" s="13">
        <v>45231</v>
      </c>
      <c r="J29" s="9" t="s">
        <v>19</v>
      </c>
      <c r="K29" s="9" t="s">
        <v>238</v>
      </c>
      <c r="L29" s="10" t="s">
        <v>252</v>
      </c>
      <c r="M29" s="10"/>
      <c r="N29" s="11" t="s">
        <v>251</v>
      </c>
      <c r="O29" s="11" t="s">
        <v>188</v>
      </c>
      <c r="P29" s="19" t="s">
        <v>318</v>
      </c>
    </row>
    <row r="30" spans="1:16" ht="15" customHeight="1" x14ac:dyDescent="0.25">
      <c r="A30" s="4" t="s">
        <v>91</v>
      </c>
      <c r="B30" s="9" t="s">
        <v>92</v>
      </c>
      <c r="C30" s="9" t="s">
        <v>93</v>
      </c>
      <c r="D30" s="9" t="s">
        <v>94</v>
      </c>
      <c r="E30" s="9" t="s">
        <v>14</v>
      </c>
      <c r="F30" s="9" t="s">
        <v>15</v>
      </c>
      <c r="G30" s="9">
        <v>2011</v>
      </c>
      <c r="H30" s="9">
        <v>2011</v>
      </c>
      <c r="I30" s="9">
        <v>2021</v>
      </c>
      <c r="J30" s="9" t="s">
        <v>19</v>
      </c>
      <c r="K30" s="9" t="s">
        <v>211</v>
      </c>
      <c r="L30" s="10" t="s">
        <v>210</v>
      </c>
      <c r="M30" s="10"/>
      <c r="N30" s="11" t="s">
        <v>212</v>
      </c>
      <c r="O30" s="11" t="s">
        <v>188</v>
      </c>
    </row>
    <row r="31" spans="1:16" ht="15" customHeight="1" x14ac:dyDescent="0.25">
      <c r="A31" s="4" t="s">
        <v>91</v>
      </c>
      <c r="B31" s="9" t="s">
        <v>95</v>
      </c>
      <c r="C31" s="9" t="s">
        <v>21</v>
      </c>
      <c r="D31" s="9" t="s">
        <v>94</v>
      </c>
      <c r="E31" s="10" t="s">
        <v>96</v>
      </c>
      <c r="F31" s="9" t="s">
        <v>23</v>
      </c>
      <c r="G31" s="9">
        <v>2021</v>
      </c>
      <c r="H31" s="9">
        <v>2021</v>
      </c>
      <c r="I31" s="9">
        <v>2021</v>
      </c>
      <c r="J31" s="14" t="s">
        <v>97</v>
      </c>
      <c r="K31" s="9" t="s">
        <v>211</v>
      </c>
      <c r="L31" s="10" t="s">
        <v>193</v>
      </c>
      <c r="M31" s="10"/>
      <c r="N31" s="11" t="s">
        <v>194</v>
      </c>
      <c r="O31" s="11" t="s">
        <v>189</v>
      </c>
    </row>
    <row r="32" spans="1:16" ht="15" customHeight="1" x14ac:dyDescent="0.25">
      <c r="A32" s="3" t="s">
        <v>98</v>
      </c>
      <c r="B32" s="9" t="s">
        <v>99</v>
      </c>
      <c r="C32" s="9" t="s">
        <v>100</v>
      </c>
      <c r="D32" s="9" t="s">
        <v>13</v>
      </c>
      <c r="E32" s="9" t="s">
        <v>40</v>
      </c>
      <c r="F32" s="9" t="s">
        <v>15</v>
      </c>
      <c r="G32" s="9" t="s">
        <v>16</v>
      </c>
      <c r="H32" s="9" t="s">
        <v>17</v>
      </c>
      <c r="I32" s="9" t="s">
        <v>18</v>
      </c>
      <c r="J32" s="9" t="s">
        <v>19</v>
      </c>
      <c r="K32" s="9" t="s">
        <v>218</v>
      </c>
      <c r="L32" s="10" t="s">
        <v>217</v>
      </c>
      <c r="M32" s="10" t="s">
        <v>217</v>
      </c>
      <c r="N32" s="11" t="s">
        <v>216</v>
      </c>
      <c r="O32" s="11" t="s">
        <v>188</v>
      </c>
      <c r="P32" s="19" t="s">
        <v>312</v>
      </c>
    </row>
    <row r="33" spans="1:16" ht="15" customHeight="1" x14ac:dyDescent="0.25">
      <c r="A33" s="3" t="s">
        <v>98</v>
      </c>
      <c r="B33" s="9" t="s">
        <v>101</v>
      </c>
      <c r="C33" s="9" t="s">
        <v>102</v>
      </c>
      <c r="D33" s="9" t="s">
        <v>13</v>
      </c>
      <c r="E33" s="9" t="s">
        <v>40</v>
      </c>
      <c r="F33" s="9" t="s">
        <v>15</v>
      </c>
      <c r="G33" s="9" t="s">
        <v>16</v>
      </c>
      <c r="H33" s="9" t="s">
        <v>17</v>
      </c>
      <c r="I33" s="9" t="s">
        <v>18</v>
      </c>
      <c r="J33" s="9" t="s">
        <v>19</v>
      </c>
      <c r="K33" s="9" t="s">
        <v>218</v>
      </c>
      <c r="L33" s="10" t="s">
        <v>217</v>
      </c>
      <c r="M33" s="10" t="s">
        <v>217</v>
      </c>
      <c r="N33" s="11" t="s">
        <v>216</v>
      </c>
      <c r="O33" s="11" t="s">
        <v>188</v>
      </c>
      <c r="P33" s="19" t="s">
        <v>312</v>
      </c>
    </row>
    <row r="34" spans="1:16" ht="15" customHeight="1" x14ac:dyDescent="0.25">
      <c r="A34" s="3" t="s">
        <v>103</v>
      </c>
      <c r="B34" s="9" t="s">
        <v>104</v>
      </c>
      <c r="C34" s="9" t="s">
        <v>105</v>
      </c>
      <c r="D34" s="9" t="s">
        <v>106</v>
      </c>
      <c r="E34" s="9" t="s">
        <v>40</v>
      </c>
      <c r="F34" s="9" t="s">
        <v>15</v>
      </c>
      <c r="G34" s="9" t="s">
        <v>107</v>
      </c>
      <c r="H34" s="9" t="s">
        <v>108</v>
      </c>
      <c r="I34" s="9" t="s">
        <v>109</v>
      </c>
      <c r="J34" s="9" t="s">
        <v>19</v>
      </c>
      <c r="K34" s="9" t="s">
        <v>220</v>
      </c>
      <c r="L34" s="10" t="s">
        <v>217</v>
      </c>
      <c r="M34" s="10" t="s">
        <v>217</v>
      </c>
      <c r="N34" s="11" t="s">
        <v>314</v>
      </c>
      <c r="O34" s="11" t="s">
        <v>188</v>
      </c>
      <c r="P34" s="19" t="s">
        <v>313</v>
      </c>
    </row>
    <row r="35" spans="1:16" ht="15" customHeight="1" x14ac:dyDescent="0.25">
      <c r="A35" s="3" t="s">
        <v>103</v>
      </c>
      <c r="B35" s="9" t="s">
        <v>110</v>
      </c>
      <c r="C35" s="9" t="s">
        <v>111</v>
      </c>
      <c r="D35" s="9" t="s">
        <v>106</v>
      </c>
      <c r="E35" s="9" t="s">
        <v>40</v>
      </c>
      <c r="F35" s="9" t="s">
        <v>15</v>
      </c>
      <c r="G35" s="9" t="s">
        <v>107</v>
      </c>
      <c r="H35" s="9" t="s">
        <v>108</v>
      </c>
      <c r="I35" s="9" t="s">
        <v>109</v>
      </c>
      <c r="J35" s="9" t="s">
        <v>19</v>
      </c>
      <c r="K35" s="9" t="s">
        <v>220</v>
      </c>
      <c r="L35" s="10" t="s">
        <v>217</v>
      </c>
      <c r="M35" s="10" t="s">
        <v>217</v>
      </c>
      <c r="N35" s="11" t="s">
        <v>314</v>
      </c>
      <c r="O35" s="11" t="s">
        <v>188</v>
      </c>
      <c r="P35" s="19" t="s">
        <v>313</v>
      </c>
    </row>
    <row r="36" spans="1:16" ht="15" customHeight="1" x14ac:dyDescent="0.25">
      <c r="A36" s="3" t="s">
        <v>103</v>
      </c>
      <c r="B36" s="9" t="s">
        <v>112</v>
      </c>
      <c r="C36" s="9" t="s">
        <v>113</v>
      </c>
      <c r="D36" s="9" t="s">
        <v>106</v>
      </c>
      <c r="E36" s="9" t="s">
        <v>40</v>
      </c>
      <c r="F36" s="9" t="s">
        <v>15</v>
      </c>
      <c r="G36" s="9" t="s">
        <v>107</v>
      </c>
      <c r="H36" s="9" t="s">
        <v>108</v>
      </c>
      <c r="I36" s="9" t="s">
        <v>109</v>
      </c>
      <c r="J36" s="9" t="s">
        <v>19</v>
      </c>
      <c r="K36" s="9" t="s">
        <v>219</v>
      </c>
      <c r="L36" s="10" t="s">
        <v>217</v>
      </c>
      <c r="M36" s="10"/>
      <c r="N36" s="11" t="s">
        <v>316</v>
      </c>
      <c r="O36" s="11" t="s">
        <v>188</v>
      </c>
      <c r="P36" s="19" t="s">
        <v>315</v>
      </c>
    </row>
    <row r="37" spans="1:16" ht="15" customHeight="1" x14ac:dyDescent="0.25">
      <c r="A37" s="3" t="s">
        <v>103</v>
      </c>
      <c r="B37" s="9" t="s">
        <v>114</v>
      </c>
      <c r="C37" s="9" t="s">
        <v>115</v>
      </c>
      <c r="D37" s="9" t="s">
        <v>106</v>
      </c>
      <c r="E37" s="9" t="s">
        <v>40</v>
      </c>
      <c r="F37" s="9" t="s">
        <v>15</v>
      </c>
      <c r="G37" s="9" t="s">
        <v>107</v>
      </c>
      <c r="H37" s="9" t="s">
        <v>108</v>
      </c>
      <c r="I37" s="9" t="s">
        <v>109</v>
      </c>
      <c r="J37" s="9" t="s">
        <v>19</v>
      </c>
      <c r="K37" s="9" t="s">
        <v>219</v>
      </c>
      <c r="L37" s="10" t="s">
        <v>217</v>
      </c>
      <c r="M37" s="10"/>
      <c r="N37" s="11" t="s">
        <v>316</v>
      </c>
      <c r="O37" s="11" t="s">
        <v>188</v>
      </c>
      <c r="P37" s="19" t="s">
        <v>315</v>
      </c>
    </row>
    <row r="38" spans="1:16" ht="15" customHeight="1" x14ac:dyDescent="0.25">
      <c r="A38" s="4" t="s">
        <v>116</v>
      </c>
      <c r="B38" s="52" t="s">
        <v>21</v>
      </c>
      <c r="C38" s="9" t="s">
        <v>21</v>
      </c>
      <c r="D38" s="9" t="s">
        <v>106</v>
      </c>
      <c r="E38" s="9" t="s">
        <v>117</v>
      </c>
      <c r="F38" s="9" t="s">
        <v>23</v>
      </c>
      <c r="G38" s="9" t="s">
        <v>109</v>
      </c>
      <c r="H38" s="9" t="s">
        <v>109</v>
      </c>
      <c r="I38" s="9" t="s">
        <v>118</v>
      </c>
      <c r="J38" s="14"/>
      <c r="K38" s="9" t="s">
        <v>195</v>
      </c>
      <c r="L38" s="10" t="s">
        <v>248</v>
      </c>
      <c r="M38" s="10"/>
      <c r="N38" s="11" t="s">
        <v>240</v>
      </c>
      <c r="O38" s="11" t="s">
        <v>188</v>
      </c>
    </row>
    <row r="39" spans="1:16" ht="15" customHeight="1" x14ac:dyDescent="0.25">
      <c r="A39" s="9" t="s">
        <v>119</v>
      </c>
      <c r="B39" s="52" t="s">
        <v>120</v>
      </c>
      <c r="C39" s="9" t="s">
        <v>121</v>
      </c>
      <c r="D39" s="9" t="s">
        <v>28</v>
      </c>
      <c r="E39" s="9" t="s">
        <v>122</v>
      </c>
      <c r="F39" s="9" t="s">
        <v>15</v>
      </c>
      <c r="G39" s="13">
        <v>42736</v>
      </c>
      <c r="H39" s="13">
        <v>45292</v>
      </c>
      <c r="I39" s="13">
        <v>45292</v>
      </c>
      <c r="J39" s="9" t="s">
        <v>21</v>
      </c>
      <c r="K39" s="9" t="s">
        <v>227</v>
      </c>
      <c r="L39" s="10" t="s">
        <v>228</v>
      </c>
      <c r="M39" s="10"/>
      <c r="N39" s="11" t="s">
        <v>230</v>
      </c>
      <c r="O39" s="11" t="s">
        <v>188</v>
      </c>
    </row>
    <row r="40" spans="1:16" ht="15" customHeight="1" x14ac:dyDescent="0.25">
      <c r="A40" s="9" t="s">
        <v>119</v>
      </c>
      <c r="B40" s="52" t="s">
        <v>123</v>
      </c>
      <c r="C40" s="9" t="s">
        <v>124</v>
      </c>
      <c r="D40" s="9" t="s">
        <v>28</v>
      </c>
      <c r="E40" s="9" t="s">
        <v>122</v>
      </c>
      <c r="F40" s="9" t="s">
        <v>15</v>
      </c>
      <c r="G40" s="13">
        <v>42736</v>
      </c>
      <c r="H40" s="13">
        <v>45292</v>
      </c>
      <c r="I40" s="13">
        <v>45292</v>
      </c>
      <c r="J40" s="9" t="s">
        <v>21</v>
      </c>
      <c r="K40" s="9" t="s">
        <v>227</v>
      </c>
      <c r="L40" s="10" t="s">
        <v>228</v>
      </c>
      <c r="M40" s="10"/>
      <c r="N40" s="11" t="s">
        <v>230</v>
      </c>
      <c r="O40" s="11" t="s">
        <v>188</v>
      </c>
    </row>
    <row r="41" spans="1:16" ht="15" customHeight="1" x14ac:dyDescent="0.25">
      <c r="A41" s="9" t="s">
        <v>119</v>
      </c>
      <c r="B41" s="52" t="s">
        <v>125</v>
      </c>
      <c r="C41" s="9" t="s">
        <v>126</v>
      </c>
      <c r="D41" s="9" t="s">
        <v>28</v>
      </c>
      <c r="E41" s="9" t="s">
        <v>122</v>
      </c>
      <c r="F41" s="9" t="s">
        <v>15</v>
      </c>
      <c r="G41" s="13">
        <v>42736</v>
      </c>
      <c r="H41" s="13">
        <v>45292</v>
      </c>
      <c r="I41" s="13">
        <v>45292</v>
      </c>
      <c r="J41" s="9" t="s">
        <v>21</v>
      </c>
      <c r="K41" s="9" t="s">
        <v>227</v>
      </c>
      <c r="L41" s="10" t="s">
        <v>228</v>
      </c>
      <c r="M41" s="10"/>
      <c r="N41" s="11" t="s">
        <v>229</v>
      </c>
      <c r="O41" s="11" t="s">
        <v>188</v>
      </c>
    </row>
    <row r="42" spans="1:16" ht="15" customHeight="1" x14ac:dyDescent="0.25">
      <c r="A42" s="9" t="s">
        <v>127</v>
      </c>
      <c r="B42" s="52" t="s">
        <v>128</v>
      </c>
      <c r="C42" s="9" t="s">
        <v>129</v>
      </c>
      <c r="D42" s="9" t="s">
        <v>130</v>
      </c>
      <c r="E42" s="9" t="s">
        <v>131</v>
      </c>
      <c r="F42" s="9" t="s">
        <v>15</v>
      </c>
      <c r="G42" s="13">
        <v>42736</v>
      </c>
      <c r="H42" s="13">
        <v>45292</v>
      </c>
      <c r="I42" s="13">
        <v>45292</v>
      </c>
      <c r="J42" s="9" t="s">
        <v>21</v>
      </c>
      <c r="K42" s="9" t="s">
        <v>234</v>
      </c>
      <c r="L42" s="10" t="s">
        <v>235</v>
      </c>
      <c r="M42" s="10"/>
      <c r="N42" s="11" t="s">
        <v>232</v>
      </c>
      <c r="O42" s="11" t="s">
        <v>189</v>
      </c>
    </row>
    <row r="43" spans="1:16" ht="15" customHeight="1" x14ac:dyDescent="0.25">
      <c r="A43" s="9" t="s">
        <v>127</v>
      </c>
      <c r="B43" s="52" t="s">
        <v>132</v>
      </c>
      <c r="C43" s="9" t="s">
        <v>133</v>
      </c>
      <c r="D43" s="9" t="s">
        <v>130</v>
      </c>
      <c r="E43" s="9" t="s">
        <v>134</v>
      </c>
      <c r="F43" s="9" t="s">
        <v>15</v>
      </c>
      <c r="G43" s="13">
        <v>42736</v>
      </c>
      <c r="H43" s="13">
        <v>45292</v>
      </c>
      <c r="I43" s="13">
        <v>45292</v>
      </c>
      <c r="J43" s="9" t="s">
        <v>21</v>
      </c>
      <c r="K43" s="9" t="s">
        <v>233</v>
      </c>
      <c r="L43" s="11" t="s">
        <v>21</v>
      </c>
      <c r="N43" s="11" t="s">
        <v>232</v>
      </c>
      <c r="O43" s="11" t="s">
        <v>189</v>
      </c>
    </row>
    <row r="44" spans="1:16" ht="15" customHeight="1" x14ac:dyDescent="0.25">
      <c r="A44" s="9" t="s">
        <v>127</v>
      </c>
      <c r="B44" s="52" t="s">
        <v>135</v>
      </c>
      <c r="C44" s="9" t="s">
        <v>136</v>
      </c>
      <c r="D44" s="9" t="s">
        <v>130</v>
      </c>
      <c r="E44" s="9" t="s">
        <v>137</v>
      </c>
      <c r="F44" s="9" t="s">
        <v>15</v>
      </c>
      <c r="G44" s="13">
        <v>42736</v>
      </c>
      <c r="H44" s="13">
        <v>45292</v>
      </c>
      <c r="I44" s="13">
        <v>45292</v>
      </c>
      <c r="J44" s="9" t="s">
        <v>21</v>
      </c>
      <c r="K44" s="9" t="s">
        <v>231</v>
      </c>
      <c r="L44" s="11" t="s">
        <v>21</v>
      </c>
      <c r="N44" s="11" t="s">
        <v>232</v>
      </c>
      <c r="O44" s="11" t="s">
        <v>189</v>
      </c>
    </row>
    <row r="45" spans="1:16" ht="15" customHeight="1" x14ac:dyDescent="0.25">
      <c r="A45" s="15" t="s">
        <v>138</v>
      </c>
      <c r="B45" s="17" t="s">
        <v>170</v>
      </c>
      <c r="C45" s="5" t="s">
        <v>21</v>
      </c>
      <c r="D45" s="5" t="s">
        <v>22</v>
      </c>
      <c r="E45" s="9" t="s">
        <v>40</v>
      </c>
      <c r="F45" s="9" t="s">
        <v>23</v>
      </c>
      <c r="G45" s="5">
        <v>2019</v>
      </c>
      <c r="H45" s="5">
        <v>2022</v>
      </c>
      <c r="I45" s="5">
        <v>2022</v>
      </c>
      <c r="J45" s="14" t="s">
        <v>139</v>
      </c>
      <c r="K45" s="9" t="s">
        <v>195</v>
      </c>
      <c r="L45" s="11" t="s">
        <v>21</v>
      </c>
      <c r="N45" s="18" t="s">
        <v>139</v>
      </c>
      <c r="O45" s="11" t="s">
        <v>188</v>
      </c>
    </row>
    <row r="46" spans="1:16" ht="15" customHeight="1" x14ac:dyDescent="0.25">
      <c r="A46" s="5" t="s">
        <v>140</v>
      </c>
      <c r="B46" s="17" t="s">
        <v>141</v>
      </c>
      <c r="C46" s="9" t="s">
        <v>142</v>
      </c>
      <c r="D46" s="5" t="s">
        <v>22</v>
      </c>
      <c r="E46" s="9" t="s">
        <v>40</v>
      </c>
      <c r="F46" s="9" t="s">
        <v>15</v>
      </c>
      <c r="G46" s="5">
        <v>2019</v>
      </c>
      <c r="H46" s="5">
        <v>2022</v>
      </c>
      <c r="I46" s="5">
        <v>2022</v>
      </c>
      <c r="J46" s="9" t="s">
        <v>21</v>
      </c>
      <c r="K46" s="9" t="s">
        <v>195</v>
      </c>
      <c r="L46" s="10" t="s">
        <v>221</v>
      </c>
      <c r="M46" s="10"/>
      <c r="N46" s="11" t="s">
        <v>240</v>
      </c>
      <c r="O46" s="11" t="s">
        <v>188</v>
      </c>
    </row>
    <row r="47" spans="1:16" ht="15" customHeight="1" x14ac:dyDescent="0.25">
      <c r="A47" s="15" t="s">
        <v>143</v>
      </c>
      <c r="B47" s="5" t="s">
        <v>144</v>
      </c>
      <c r="C47" s="9" t="s">
        <v>21</v>
      </c>
      <c r="D47" s="5" t="s">
        <v>22</v>
      </c>
      <c r="E47" s="9" t="s">
        <v>40</v>
      </c>
      <c r="F47" s="9" t="s">
        <v>23</v>
      </c>
      <c r="G47" s="5">
        <v>2019</v>
      </c>
      <c r="H47" s="5">
        <v>2022</v>
      </c>
      <c r="I47" s="5">
        <v>2022</v>
      </c>
      <c r="J47" s="14" t="s">
        <v>145</v>
      </c>
      <c r="K47" s="9" t="s">
        <v>225</v>
      </c>
      <c r="L47" s="10" t="s">
        <v>221</v>
      </c>
      <c r="M47" s="10"/>
      <c r="N47" s="11" t="s">
        <v>224</v>
      </c>
      <c r="O47" s="11" t="s">
        <v>188</v>
      </c>
    </row>
    <row r="48" spans="1:16" ht="15" customHeight="1" x14ac:dyDescent="0.25">
      <c r="A48" s="15" t="s">
        <v>143</v>
      </c>
      <c r="B48" s="5" t="s">
        <v>146</v>
      </c>
      <c r="C48" s="9" t="s">
        <v>21</v>
      </c>
      <c r="D48" s="5" t="s">
        <v>22</v>
      </c>
      <c r="E48" s="9" t="s">
        <v>40</v>
      </c>
      <c r="F48" s="9" t="s">
        <v>23</v>
      </c>
      <c r="G48" s="5">
        <v>2019</v>
      </c>
      <c r="H48" s="5">
        <v>2022</v>
      </c>
      <c r="I48" s="5">
        <v>2022</v>
      </c>
      <c r="J48" s="14" t="s">
        <v>147</v>
      </c>
      <c r="K48" s="9" t="s">
        <v>226</v>
      </c>
      <c r="L48" s="10" t="s">
        <v>221</v>
      </c>
      <c r="M48" s="10"/>
      <c r="N48" s="11" t="s">
        <v>224</v>
      </c>
      <c r="O48" s="11" t="s">
        <v>188</v>
      </c>
    </row>
    <row r="49" spans="1:16" ht="15" customHeight="1" x14ac:dyDescent="0.25">
      <c r="A49" s="15" t="s">
        <v>148</v>
      </c>
      <c r="B49" s="17" t="s">
        <v>171</v>
      </c>
      <c r="C49" s="9" t="s">
        <v>21</v>
      </c>
      <c r="D49" s="5" t="s">
        <v>22</v>
      </c>
      <c r="E49" s="9" t="s">
        <v>40</v>
      </c>
      <c r="F49" s="9" t="s">
        <v>23</v>
      </c>
      <c r="G49" s="5">
        <v>2019</v>
      </c>
      <c r="H49" s="5">
        <v>2022</v>
      </c>
      <c r="I49" s="5">
        <v>2022</v>
      </c>
      <c r="J49" s="14" t="s">
        <v>149</v>
      </c>
      <c r="K49" s="9" t="s">
        <v>222</v>
      </c>
      <c r="L49" s="10" t="s">
        <v>221</v>
      </c>
      <c r="M49" s="10"/>
      <c r="N49" s="11" t="s">
        <v>346</v>
      </c>
      <c r="O49" s="11" t="s">
        <v>188</v>
      </c>
      <c r="P49" s="19" t="s">
        <v>347</v>
      </c>
    </row>
    <row r="50" spans="1:16" ht="15" customHeight="1" x14ac:dyDescent="0.25">
      <c r="A50" s="15" t="s">
        <v>148</v>
      </c>
      <c r="B50" s="17" t="s">
        <v>172</v>
      </c>
      <c r="C50" s="9" t="s">
        <v>21</v>
      </c>
      <c r="D50" s="5" t="s">
        <v>22</v>
      </c>
      <c r="E50" s="9" t="s">
        <v>40</v>
      </c>
      <c r="F50" s="9" t="s">
        <v>23</v>
      </c>
      <c r="G50" s="5">
        <v>2019</v>
      </c>
      <c r="H50" s="5">
        <v>2022</v>
      </c>
      <c r="I50" s="5">
        <v>2022</v>
      </c>
      <c r="J50" s="14" t="s">
        <v>150</v>
      </c>
      <c r="K50" s="9" t="s">
        <v>223</v>
      </c>
      <c r="L50" s="10" t="s">
        <v>221</v>
      </c>
      <c r="M50" s="10"/>
      <c r="N50" s="11" t="s">
        <v>224</v>
      </c>
      <c r="O50" s="11" t="s">
        <v>188</v>
      </c>
    </row>
    <row r="51" spans="1:16" ht="15" customHeight="1" x14ac:dyDescent="0.25">
      <c r="A51" s="5" t="s">
        <v>151</v>
      </c>
      <c r="B51" s="17" t="s">
        <v>152</v>
      </c>
      <c r="C51" s="9" t="s">
        <v>153</v>
      </c>
      <c r="D51" s="5" t="s">
        <v>28</v>
      </c>
      <c r="E51" s="9" t="s">
        <v>154</v>
      </c>
      <c r="F51" s="5" t="s">
        <v>15</v>
      </c>
      <c r="G51" s="16">
        <v>44835</v>
      </c>
      <c r="H51" s="16">
        <v>45200</v>
      </c>
      <c r="I51" s="16">
        <v>45261</v>
      </c>
      <c r="J51" s="9" t="s">
        <v>19</v>
      </c>
      <c r="K51" s="9" t="s">
        <v>197</v>
      </c>
      <c r="L51" s="10" t="s">
        <v>196</v>
      </c>
      <c r="M51" s="10"/>
      <c r="N51" s="11" t="s">
        <v>182</v>
      </c>
      <c r="O51" s="11" t="s">
        <v>188</v>
      </c>
      <c r="P51" s="19" t="s">
        <v>268</v>
      </c>
    </row>
    <row r="52" spans="1:16" ht="15" customHeight="1" x14ac:dyDescent="0.25">
      <c r="A52" s="5" t="s">
        <v>151</v>
      </c>
      <c r="B52" s="17" t="s">
        <v>155</v>
      </c>
      <c r="C52" s="9" t="s">
        <v>156</v>
      </c>
      <c r="D52" s="5" t="s">
        <v>28</v>
      </c>
      <c r="E52" s="9" t="s">
        <v>154</v>
      </c>
      <c r="F52" s="5" t="s">
        <v>15</v>
      </c>
      <c r="G52" s="16">
        <v>44228</v>
      </c>
      <c r="H52" s="16">
        <v>45200</v>
      </c>
      <c r="I52" s="16">
        <v>45261</v>
      </c>
      <c r="J52" s="9" t="s">
        <v>19</v>
      </c>
      <c r="K52" s="9" t="s">
        <v>199</v>
      </c>
      <c r="L52" s="10" t="s">
        <v>196</v>
      </c>
      <c r="M52" s="10"/>
      <c r="N52" s="11" t="s">
        <v>182</v>
      </c>
      <c r="O52" s="11" t="s">
        <v>188</v>
      </c>
      <c r="P52" s="19" t="s">
        <v>269</v>
      </c>
    </row>
    <row r="53" spans="1:16" ht="15" customHeight="1" x14ac:dyDescent="0.25">
      <c r="A53" s="5" t="s">
        <v>151</v>
      </c>
      <c r="B53" s="17" t="s">
        <v>157</v>
      </c>
      <c r="C53" s="5" t="s">
        <v>158</v>
      </c>
      <c r="D53" s="5" t="s">
        <v>28</v>
      </c>
      <c r="E53" s="9" t="s">
        <v>154</v>
      </c>
      <c r="F53" s="5" t="s">
        <v>15</v>
      </c>
      <c r="G53" s="16">
        <v>45108</v>
      </c>
      <c r="H53" s="16">
        <v>45170</v>
      </c>
      <c r="I53" s="16">
        <v>45261</v>
      </c>
      <c r="J53" s="9" t="s">
        <v>19</v>
      </c>
      <c r="K53" s="9" t="s">
        <v>200</v>
      </c>
      <c r="L53" s="10" t="s">
        <v>196</v>
      </c>
      <c r="M53" s="10"/>
      <c r="N53" s="11" t="s">
        <v>182</v>
      </c>
      <c r="O53" s="11" t="s">
        <v>188</v>
      </c>
      <c r="P53" s="19" t="s">
        <v>270</v>
      </c>
    </row>
    <row r="54" spans="1:16" ht="15" customHeight="1" x14ac:dyDescent="0.25">
      <c r="A54" s="5" t="s">
        <v>159</v>
      </c>
      <c r="B54" s="17" t="s">
        <v>160</v>
      </c>
      <c r="C54" s="9" t="s">
        <v>161</v>
      </c>
      <c r="D54" s="5" t="s">
        <v>28</v>
      </c>
      <c r="E54" s="9" t="s">
        <v>154</v>
      </c>
      <c r="F54" s="5" t="s">
        <v>15</v>
      </c>
      <c r="G54" s="16">
        <v>45139</v>
      </c>
      <c r="H54" s="16">
        <v>45200</v>
      </c>
      <c r="I54" s="16">
        <v>45261</v>
      </c>
      <c r="J54" s="9" t="s">
        <v>19</v>
      </c>
      <c r="K54" s="9" t="s">
        <v>201</v>
      </c>
      <c r="L54" s="10" t="s">
        <v>196</v>
      </c>
      <c r="M54" s="10"/>
      <c r="N54" s="11" t="s">
        <v>182</v>
      </c>
      <c r="O54" s="11" t="s">
        <v>188</v>
      </c>
      <c r="P54" s="19" t="s">
        <v>272</v>
      </c>
    </row>
    <row r="55" spans="1:16" ht="15" customHeight="1" x14ac:dyDescent="0.25">
      <c r="A55" s="5" t="s">
        <v>159</v>
      </c>
      <c r="B55" s="17" t="s">
        <v>162</v>
      </c>
      <c r="C55" s="9" t="s">
        <v>163</v>
      </c>
      <c r="D55" s="5" t="s">
        <v>28</v>
      </c>
      <c r="E55" s="9" t="s">
        <v>154</v>
      </c>
      <c r="F55" s="5" t="s">
        <v>15</v>
      </c>
      <c r="G55" s="16">
        <v>45139</v>
      </c>
      <c r="H55" s="16">
        <v>45200</v>
      </c>
      <c r="I55" s="16">
        <v>45261</v>
      </c>
      <c r="J55" s="9" t="s">
        <v>19</v>
      </c>
      <c r="K55" s="9" t="s">
        <v>201</v>
      </c>
      <c r="L55" s="10" t="s">
        <v>196</v>
      </c>
      <c r="M55" s="10"/>
      <c r="N55" s="11" t="s">
        <v>182</v>
      </c>
      <c r="O55" s="11" t="s">
        <v>188</v>
      </c>
      <c r="P55" s="19" t="s">
        <v>272</v>
      </c>
    </row>
    <row r="56" spans="1:16" ht="15" customHeight="1" x14ac:dyDescent="0.25">
      <c r="A56" s="5" t="s">
        <v>159</v>
      </c>
      <c r="B56" s="17" t="s">
        <v>164</v>
      </c>
      <c r="C56" s="9" t="s">
        <v>165</v>
      </c>
      <c r="D56" s="5" t="s">
        <v>28</v>
      </c>
      <c r="E56" s="9" t="s">
        <v>154</v>
      </c>
      <c r="F56" s="5" t="s">
        <v>15</v>
      </c>
      <c r="G56" s="16">
        <v>45139</v>
      </c>
      <c r="H56" s="16">
        <v>45200</v>
      </c>
      <c r="I56" s="16">
        <v>45261</v>
      </c>
      <c r="J56" s="9" t="s">
        <v>19</v>
      </c>
      <c r="K56" s="9" t="s">
        <v>201</v>
      </c>
      <c r="L56" s="10" t="s">
        <v>196</v>
      </c>
      <c r="M56" s="10"/>
      <c r="N56" s="11" t="s">
        <v>182</v>
      </c>
      <c r="O56" s="11" t="s">
        <v>188</v>
      </c>
      <c r="P56" s="19" t="s">
        <v>272</v>
      </c>
    </row>
    <row r="57" spans="1:16" ht="15" customHeight="1" x14ac:dyDescent="0.25">
      <c r="A57" s="3" t="s">
        <v>166</v>
      </c>
      <c r="B57" s="9" t="s">
        <v>167</v>
      </c>
      <c r="C57" s="9" t="s">
        <v>168</v>
      </c>
      <c r="D57" s="5" t="s">
        <v>28</v>
      </c>
      <c r="E57" s="9" t="s">
        <v>154</v>
      </c>
      <c r="F57" s="5" t="s">
        <v>15</v>
      </c>
      <c r="G57" s="16">
        <v>44835</v>
      </c>
      <c r="H57" s="16">
        <v>45200</v>
      </c>
      <c r="I57" s="16">
        <v>45261</v>
      </c>
      <c r="J57" s="9" t="s">
        <v>19</v>
      </c>
      <c r="K57" s="9" t="s">
        <v>198</v>
      </c>
      <c r="L57" s="10" t="s">
        <v>196</v>
      </c>
      <c r="M57" s="10"/>
      <c r="N57" s="11" t="s">
        <v>182</v>
      </c>
      <c r="O57" s="11" t="s">
        <v>188</v>
      </c>
      <c r="P57" s="19" t="s">
        <v>273</v>
      </c>
    </row>
    <row r="58" spans="1:16" ht="15" customHeight="1" x14ac:dyDescent="0.25">
      <c r="A58" s="3" t="s">
        <v>169</v>
      </c>
      <c r="B58" s="53" t="s">
        <v>21</v>
      </c>
      <c r="C58" s="9" t="s">
        <v>21</v>
      </c>
      <c r="D58" s="5" t="s">
        <v>21</v>
      </c>
      <c r="E58" s="9" t="s">
        <v>21</v>
      </c>
      <c r="F58" s="5" t="s">
        <v>23</v>
      </c>
      <c r="G58" s="9" t="s">
        <v>21</v>
      </c>
      <c r="H58" s="9" t="s">
        <v>21</v>
      </c>
      <c r="I58" s="16" t="s">
        <v>21</v>
      </c>
      <c r="J58" s="9" t="s">
        <v>35</v>
      </c>
      <c r="K58" s="9" t="s">
        <v>209</v>
      </c>
      <c r="L58" s="10" t="s">
        <v>196</v>
      </c>
      <c r="M58" s="10"/>
      <c r="N58" s="11" t="s">
        <v>271</v>
      </c>
      <c r="O58" s="11" t="s">
        <v>189</v>
      </c>
    </row>
    <row r="59" spans="1:16" x14ac:dyDescent="0.25">
      <c r="A59" s="3"/>
      <c r="E59" s="12"/>
    </row>
  </sheetData>
  <autoFilter ref="A1:P58" xr:uid="{488D98E8-93DA-4F62-8F7C-6A12E797B8BA}"/>
  <sortState xmlns:xlrd2="http://schemas.microsoft.com/office/spreadsheetml/2017/richdata2" ref="A9:E57">
    <sortCondition ref="A9:A57"/>
  </sortState>
  <dataValidations count="2">
    <dataValidation type="list" allowBlank="1" showInputMessage="1" showErrorMessage="1" sqref="F59:F1048576" xr:uid="{43EAE655-6E3B-46B4-AA51-C1D077800746}">
      <formula1>"Yes,No"</formula1>
    </dataValidation>
    <dataValidation type="list" allowBlank="1" showInputMessage="1" showErrorMessage="1" sqref="F2:F58" xr:uid="{6019B189-0D55-4E71-BED6-F3D88C4A7990}">
      <formula1>"Available,Pending"</formula1>
    </dataValidation>
  </dataValidations>
  <hyperlinks>
    <hyperlink ref="J47" r:id="rId1" xr:uid="{B086CFF6-F853-450E-A6AE-B06E9327FCBD}"/>
    <hyperlink ref="J48" r:id="rId2" xr:uid="{1E1C6258-A53F-4E84-9824-CC08620EA753}"/>
    <hyperlink ref="J3" r:id="rId3" xr:uid="{4A61C2E4-DAB2-42D1-8F64-5AC6608E25C6}"/>
    <hyperlink ref="L2" r:id="rId4" xr:uid="{8C53DB7D-5383-4013-88B8-7F5E002E0025}"/>
    <hyperlink ref="L4" r:id="rId5" xr:uid="{BD9846AF-4593-4402-81B3-D043D65F3B00}"/>
    <hyperlink ref="J5" r:id="rId6" xr:uid="{3F7BFFF3-D001-4CB9-8515-91582A9DDBA2}"/>
    <hyperlink ref="L5" r:id="rId7" xr:uid="{F20BF325-D38C-4BE6-B914-FEE03C2E4789}"/>
    <hyperlink ref="L11" r:id="rId8" xr:uid="{DDC1EC00-9835-4059-B091-87000F503266}"/>
    <hyperlink ref="L31" r:id="rId9" xr:uid="{5B9A4D1A-75DB-48F6-9749-2E92A2313530}"/>
    <hyperlink ref="E31" r:id="rId10" xr:uid="{F6DCA983-EEE5-4AD8-BC73-95D4BD178BEE}"/>
    <hyperlink ref="J7" r:id="rId11" xr:uid="{34CAC619-DDA5-4049-B32E-F33050AAAF71}"/>
    <hyperlink ref="L23" r:id="rId12" xr:uid="{B2934A3D-1E8B-4177-8B46-2D80FABD6B40}"/>
    <hyperlink ref="L25" r:id="rId13" xr:uid="{785D361D-CF59-4641-8E8A-A2114920C035}"/>
    <hyperlink ref="J25" r:id="rId14" xr:uid="{93878F89-DDD3-47C3-9DF3-99D6DD1AFAAC}"/>
    <hyperlink ref="L24" r:id="rId15" xr:uid="{63630A82-E223-4D88-9765-DB553DD1DA8D}"/>
    <hyperlink ref="L26" r:id="rId16" xr:uid="{AFB22D62-8FB9-4D42-A981-7D2F986C4321}"/>
    <hyperlink ref="P2" r:id="rId17" xr:uid="{4E320804-7BB4-434A-A806-60E92F870550}"/>
    <hyperlink ref="M4" r:id="rId18" display="https://www.statistics.gr/en/statistics?p_p_id=documents_WAR_publicationsportlet_INSTANCE_Mr0GiQJSgPHd&amp;p_p_lifecycle=2&amp;p_p_state=normal&amp;p_p_mode=view&amp;p_p_cacheability=cacheLevelPage&amp;p_p_col_id=column-2&amp;p_p_col_count=4&amp;p_p_col_pos=3&amp;_documents_WAR_publicationsportlet_INSTANCE_Mr0GiQJSgPHd_javax.faces.resource=document&amp;_documents_WAR_publicationsportlet_INSTANCE_Mr0GiQJSgPHd_ln=downloadResources&amp;_documents_WAR_publicationsportlet_INSTANCE_Mr0GiQJSgPHd_documentID=116021&amp;_documents_WAR_publicationsportlet_INSTANCE_Mr0GiQJSgPHd_locale=en" xr:uid="{F9E5B6E4-3351-4E94-9943-B87E90F22933}"/>
    <hyperlink ref="P4" r:id="rId19" xr:uid="{1AF8E4A3-87D9-432F-9A9F-54115DCC9D36}"/>
    <hyperlink ref="P6" r:id="rId20" xr:uid="{48D6B434-3749-43E2-990E-3854B12931C5}"/>
    <hyperlink ref="M6" r:id="rId21" display="https://www.statistics.gr/en/statistics?p_p_id=documents_WAR_publicationsportlet_INSTANCE_Mr0GiQJSgPHd&amp;p_p_lifecycle=2&amp;p_p_state=normal&amp;p_p_mode=view&amp;p_p_cacheability=cacheLevelPage&amp;p_p_col_id=column-2&amp;p_p_col_count=4&amp;p_p_col_pos=3&amp;_documents_WAR_publicationsportlet_INSTANCE_Mr0GiQJSgPHd_javax.faces.resource=document&amp;_documents_WAR_publicationsportlet_INSTANCE_Mr0GiQJSgPHd_ln=downloadResources&amp;_documents_WAR_publicationsportlet_INSTANCE_Mr0GiQJSgPHd_documentID=304767&amp;_documents_WAR_publicationsportlet_INSTANCE_Mr0GiQJSgPHd_locale=en" xr:uid="{8620F6EE-E74F-43DF-B5AC-5E076013B78E}"/>
    <hyperlink ref="L7" r:id="rId22" xr:uid="{73482A67-196E-42BB-969E-F20B991D3526}"/>
    <hyperlink ref="L8" r:id="rId23" xr:uid="{62039A3C-7583-4CC1-AE30-C3144A198A65}"/>
    <hyperlink ref="M7" r:id="rId24" display="https://www.statistics.gr/en/statistics?p_p_id=documents_WAR_publicationsportlet_INSTANCE_VBZOni0vs5VJ&amp;p_p_lifecycle=2&amp;p_p_state=normal&amp;p_p_mode=view&amp;p_p_cacheability=cacheLevelPage&amp;p_p_col_id=column-2&amp;p_p_col_count=4&amp;p_p_col_pos=2&amp;_documents_WAR_publicationsportlet_INSTANCE_VBZOni0vs5VJ_javax.faces.resource=document&amp;_documents_WAR_publicationsportlet_INSTANCE_VBZOni0vs5VJ_ln=downloadResources&amp;_documents_WAR_publicationsportlet_INSTANCE_VBZOni0vs5VJ_documentID=517393&amp;_documents_WAR_publicationsportlet_INSTANCE_VBZOni0vs5VJ_locale=en" xr:uid="{BADD175E-04ED-4CFB-9448-ADDCD3739851}"/>
    <hyperlink ref="M8" r:id="rId25" display="https://www.statistics.gr/en/statistics?p_p_id=documents_WAR_publicationsportlet_INSTANCE_VBZOni0vs5VJ&amp;p_p_lifecycle=2&amp;p_p_state=normal&amp;p_p_mode=view&amp;p_p_cacheability=cacheLevelPage&amp;p_p_col_id=column-2&amp;p_p_col_count=4&amp;p_p_col_pos=2&amp;_documents_WAR_publicationsportlet_INSTANCE_VBZOni0vs5VJ_javax.faces.resource=document&amp;_documents_WAR_publicationsportlet_INSTANCE_VBZOni0vs5VJ_ln=downloadResources&amp;_documents_WAR_publicationsportlet_INSTANCE_VBZOni0vs5VJ_documentID=517393&amp;_documents_WAR_publicationsportlet_INSTANCE_VBZOni0vs5VJ_locale=en" xr:uid="{85474939-FAB4-40C9-8A53-399C9C3EBF33}"/>
    <hyperlink ref="P7" r:id="rId26" xr:uid="{D9FC1D4A-0688-43B9-AACF-C8EB7C1036A4}"/>
    <hyperlink ref="P8" r:id="rId27" xr:uid="{0ACBD4E7-3DC1-42CB-9B40-53A10B567197}"/>
    <hyperlink ref="P51" r:id="rId28" xr:uid="{51D486F3-5BA3-49C9-AE72-E06E678493F3}"/>
    <hyperlink ref="P52" r:id="rId29" xr:uid="{E5B244A6-C366-468B-B883-D442BBB38ACE}"/>
    <hyperlink ref="P53" r:id="rId30" xr:uid="{1E296985-8BA8-411F-B721-935A6F62FC5C}"/>
    <hyperlink ref="P54" r:id="rId31" xr:uid="{47F40835-EDE3-46C7-AD76-4B7EA5E721B8}"/>
    <hyperlink ref="P55" r:id="rId32" xr:uid="{1369B3C1-BAA1-4EA1-B2B7-23F1EED7C0E6}"/>
    <hyperlink ref="P56" r:id="rId33" xr:uid="{9BF1B614-EB18-4A43-8AB9-D358D7F98E02}"/>
    <hyperlink ref="P57" r:id="rId34" xr:uid="{A7F05D5C-314E-4652-9D1A-E9AFB9D888D7}"/>
    <hyperlink ref="P11" r:id="rId35" xr:uid="{4BA943E5-1BCC-4FD6-A2E0-6865B876AEAC}"/>
    <hyperlink ref="M16" r:id="rId36" display="https://www.statistics.gr/en/statistics?p_p_id=documents_WAR_publicationsportlet_INSTANCE_Mr0GiQJSgPHd&amp;p_p_lifecycle=2&amp;p_p_state=normal&amp;p_p_mode=view&amp;p_p_cacheability=cacheLevelPage&amp;p_p_col_id=column-2&amp;p_p_col_count=4&amp;p_p_col_pos=3&amp;_documents_WAR_publicationsportlet_INSTANCE_Mr0GiQJSgPHd_javax.faces.resource=document&amp;_documents_WAR_publicationsportlet_INSTANCE_Mr0GiQJSgPHd_ln=downloadResources&amp;_documents_WAR_publicationsportlet_INSTANCE_Mr0GiQJSgPHd_documentID=114755&amp;_documents_WAR_publicationsportlet_INSTANCE_Mr0GiQJSgPHd_locale=en" xr:uid="{F37A7D3B-FB11-440E-AD15-98F9421E737A}"/>
    <hyperlink ref="P16" r:id="rId37" xr:uid="{0E08C776-80FD-4698-BB8F-79E9E1F72795}"/>
    <hyperlink ref="M17" r:id="rId38" display="https://www.statistics.gr/en/statistics?p_p_id=documents_WAR_publicationsportlet_INSTANCE_Mr0GiQJSgPHd&amp;p_p_lifecycle=2&amp;p_p_state=normal&amp;p_p_mode=view&amp;p_p_cacheability=cacheLevelPage&amp;p_p_col_id=column-2&amp;p_p_col_count=4&amp;p_p_col_pos=3&amp;_documents_WAR_publicationsportlet_INSTANCE_Mr0GiQJSgPHd_javax.faces.resource=document&amp;_documents_WAR_publicationsportlet_INSTANCE_Mr0GiQJSgPHd_ln=downloadResources&amp;_documents_WAR_publicationsportlet_INSTANCE_Mr0GiQJSgPHd_documentID=499174&amp;_documents_WAR_publicationsportlet_INSTANCE_Mr0GiQJSgPHd_locale=en" xr:uid="{6E226FAF-A8F5-499A-AD43-D444B8008CF5}"/>
    <hyperlink ref="P17" r:id="rId39" display="WIRE-1489" xr:uid="{79346B7E-8823-4727-B557-B06892872F07}"/>
    <hyperlink ref="M18" r:id="rId40" display="https://www.statistics.gr/en/statistics?p_p_id=documents_WAR_publicationsportlet_INSTANCE_Mr0GiQJSgPHd&amp;p_p_lifecycle=2&amp;p_p_state=normal&amp;p_p_mode=view&amp;p_p_cacheability=cacheLevelPage&amp;p_p_col_id=column-2&amp;p_p_col_count=4&amp;p_p_col_pos=3&amp;_documents_WAR_publicationsportlet_INSTANCE_Mr0GiQJSgPHd_javax.faces.resource=document&amp;_documents_WAR_publicationsportlet_INSTANCE_Mr0GiQJSgPHd_ln=downloadResources&amp;_documents_WAR_publicationsportlet_INSTANCE_Mr0GiQJSgPHd_documentID=470597&amp;_documents_WAR_publicationsportlet_INSTANCE_Mr0GiQJSgPHd_locale=en" xr:uid="{3EDA662E-8B9E-402B-BBAE-9E165931513C}"/>
    <hyperlink ref="P18" r:id="rId41" xr:uid="{3C68528F-6CF2-4D97-A1CA-FC94DA3E7D20}"/>
    <hyperlink ref="P19" r:id="rId42" xr:uid="{4651C474-F906-4E52-95E2-318D2076607F}"/>
    <hyperlink ref="M19" r:id="rId43" display="https://www.statistics.gr/en/statistics?p_p_id=documents_WAR_publicationsportlet_INSTANCE_Mr0GiQJSgPHd&amp;p_p_lifecycle=2&amp;p_p_state=normal&amp;p_p_mode=view&amp;p_p_cacheability=cacheLevelPage&amp;p_p_col_id=column-2&amp;p_p_col_count=4&amp;p_p_col_pos=3&amp;_documents_WAR_publicationsportlet_INSTANCE_Mr0GiQJSgPHd_javax.faces.resource=document&amp;_documents_WAR_publicationsportlet_INSTANCE_Mr0GiQJSgPHd_ln=downloadResources&amp;_documents_WAR_publicationsportlet_INSTANCE_Mr0GiQJSgPHd_documentID=471748&amp;_documents_WAR_publicationsportlet_INSTANCE_Mr0GiQJSgPHd_locale=en" xr:uid="{8C8FCE4D-0E15-4B83-90D4-8A1BA49439EB}"/>
    <hyperlink ref="P21" r:id="rId44" xr:uid="{3699B75C-38E8-423A-8C2F-1B8950FB6465}"/>
    <hyperlink ref="P22" r:id="rId45" xr:uid="{FCDFF0F5-AEC7-46C8-B2E3-96CF03B88B07}"/>
    <hyperlink ref="M23" r:id="rId46" display="https://www.statistics.gr/en/statistics?p_p_id=documents_WAR_publicationsportlet_INSTANCE_Mr0GiQJSgPHd&amp;p_p_lifecycle=2&amp;p_p_state=normal&amp;p_p_mode=view&amp;p_p_cacheability=cacheLevelPage&amp;p_p_col_id=column-2&amp;p_p_col_count=4&amp;p_p_col_pos=3&amp;_documents_WAR_publicationsportlet_INSTANCE_Mr0GiQJSgPHd_javax.faces.resource=document&amp;_documents_WAR_publicationsportlet_INSTANCE_Mr0GiQJSgPHd_ln=downloadResources&amp;_documents_WAR_publicationsportlet_INSTANCE_Mr0GiQJSgPHd_documentID=243344&amp;_documents_WAR_publicationsportlet_INSTANCE_Mr0GiQJSgPHd_locale=en" xr:uid="{84284D49-4DD9-43B6-A534-437C35B401BA}"/>
    <hyperlink ref="M24" r:id="rId47" display="https://www.statistics.gr/en/statistics?p_p_id=documents_WAR_publicationsportlet_INSTANCE_Mr0GiQJSgPHd&amp;p_p_lifecycle=2&amp;p_p_state=normal&amp;p_p_mode=view&amp;p_p_cacheability=cacheLevelPage&amp;p_p_col_id=column-2&amp;p_p_col_count=4&amp;p_p_col_pos=3&amp;_documents_WAR_publicationsportlet_INSTANCE_Mr0GiQJSgPHd_javax.faces.resource=document&amp;_documents_WAR_publicationsportlet_INSTANCE_Mr0GiQJSgPHd_ln=downloadResources&amp;_documents_WAR_publicationsportlet_INSTANCE_Mr0GiQJSgPHd_documentID=243344&amp;_documents_WAR_publicationsportlet_INSTANCE_Mr0GiQJSgPHd_locale=en" xr:uid="{0A75A128-FD97-471A-BCF6-9C1E4A3347DD}"/>
    <hyperlink ref="P23" r:id="rId48" xr:uid="{2CF86326-D90B-45A9-8EE6-017998640587}"/>
    <hyperlink ref="P24" r:id="rId49" xr:uid="{7ECBDAB7-3FA9-4C9E-86E5-B4EAEE5AC3E8}"/>
    <hyperlink ref="P25" r:id="rId50" xr:uid="{5D219B5E-88C7-4E81-8A06-034126F6BFD6}"/>
    <hyperlink ref="M25" r:id="rId51" display="https://www.statistics.gr/en/statistics?p_p_id=documents_WAR_publicationsportlet_INSTANCE_VBZOni0vs5VJ&amp;p_p_lifecycle=2&amp;p_p_state=normal&amp;p_p_mode=view&amp;p_p_cacheability=cacheLevelPage&amp;p_p_col_id=column-2&amp;p_p_col_count=4&amp;p_p_col_pos=2&amp;_documents_WAR_publicationsportlet_INSTANCE_VBZOni0vs5VJ_javax.faces.resource=document&amp;_documents_WAR_publicationsportlet_INSTANCE_VBZOni0vs5VJ_ln=downloadResources&amp;_documents_WAR_publicationsportlet_INSTANCE_VBZOni0vs5VJ_documentID=516607&amp;_documents_WAR_publicationsportlet_INSTANCE_VBZOni0vs5VJ_locale=en" xr:uid="{7667FB65-53C2-4CFB-A143-10A9774D4AD7}"/>
    <hyperlink ref="M26" r:id="rId52" display="https://www.statistics.gr/el/statistics?p_p_id=documents_WAR_publicationsportlet_INSTANCE_VBZOni0vs5VJ&amp;p_p_lifecycle=2&amp;p_p_state=normal&amp;p_p_mode=view&amp;p_p_cacheability=cacheLevelPage&amp;p_p_col_id=column-2&amp;p_p_col_count=4&amp;p_p_col_pos=2&amp;_documents_WAR_publicationsportlet_INSTANCE_VBZOni0vs5VJ_javax.faces.resource=document&amp;_documents_WAR_publicationsportlet_INSTANCE_VBZOni0vs5VJ_ln=downloadResources&amp;_documents_WAR_publicationsportlet_INSTANCE_VBZOni0vs5VJ_documentID=516604&amp;_documents_WAR_publicationsportlet_INSTANCE_VBZOni0vs5VJ_locale=el" xr:uid="{DA1C8D69-4E5B-4FC7-BA2C-92E1FF31B2E3}"/>
    <hyperlink ref="P26" r:id="rId53" xr:uid="{F426AFBD-2A4C-49AF-8457-440C531EDB21}"/>
    <hyperlink ref="P27" r:id="rId54" xr:uid="{6A84C2D9-CE34-4595-99F3-607BDAFC76FF}"/>
    <hyperlink ref="M9" r:id="rId55" xr:uid="{1C5FC749-14BC-4246-93AE-5603D00ED697}"/>
    <hyperlink ref="M10" r:id="rId56" xr:uid="{B743A93F-7A0A-42F9-AC47-F1DCED2DF126}"/>
    <hyperlink ref="M14" r:id="rId57" display="https://www.statistics.gr/en/statistics?p_p_id=documents_WAR_publicationsportlet_INSTANCE_Mr0GiQJSgPHd&amp;p_p_lifecycle=2&amp;p_p_state=normal&amp;p_p_mode=view&amp;p_p_cacheability=cacheLevelPage&amp;p_p_col_id=column-2&amp;p_p_col_count=4&amp;p_p_col_pos=3&amp;_documents_WAR_publicationsportlet_INSTANCE_Mr0GiQJSgPHd_javax.faces.resource=document&amp;_documents_WAR_publicationsportlet_INSTANCE_Mr0GiQJSgPHd_ln=downloadResources&amp;_documents_WAR_publicationsportlet_INSTANCE_Mr0GiQJSgPHd_documentID=115368&amp;_documents_WAR_publicationsportlet_INSTANCE_Mr0GiQJSgPHd_locale=en" xr:uid="{47BE5908-DD68-4A3C-9E76-0EF7A969F9FE}"/>
    <hyperlink ref="P14" r:id="rId58" xr:uid="{4F5427AA-6BD5-4335-A45C-0E9E2A849594}"/>
    <hyperlink ref="M15" r:id="rId59" display="https://www.statistics.gr/en/statistics?p_p_id=documents_WAR_publicationsportlet_INSTANCE_Mr0GiQJSgPHd&amp;p_p_lifecycle=2&amp;p_p_state=normal&amp;p_p_mode=view&amp;p_p_cacheability=cacheLevelPage&amp;p_p_col_id=column-2&amp;p_p_col_count=4&amp;p_p_col_pos=3&amp;_documents_WAR_publicationsportlet_INSTANCE_Mr0GiQJSgPHd_javax.faces.resource=document&amp;_documents_WAR_publicationsportlet_INSTANCE_Mr0GiQJSgPHd_ln=downloadResources&amp;_documents_WAR_publicationsportlet_INSTANCE_Mr0GiQJSgPHd_documentID=115410&amp;_documents_WAR_publicationsportlet_INSTANCE_Mr0GiQJSgPHd_locale=en" xr:uid="{F1EA530C-0C9E-477A-8D84-8BE2F0F27401}"/>
    <hyperlink ref="P15" r:id="rId60" xr:uid="{1B4DE5CB-9E21-40F3-9545-F49F073CE515}"/>
    <hyperlink ref="P32" r:id="rId61" xr:uid="{19ABED28-F1AA-4108-9A2D-66A964FBD947}"/>
    <hyperlink ref="P33" r:id="rId62" xr:uid="{6A685558-6495-4F76-AF96-5BCF512ED806}"/>
    <hyperlink ref="P34" r:id="rId63" xr:uid="{C06E0D2B-3A8E-4291-8662-499B1879AAC4}"/>
    <hyperlink ref="P35" r:id="rId64" xr:uid="{B65F71CA-E7D8-4C33-8CFA-DAC22AD2E2BF}"/>
    <hyperlink ref="P36" r:id="rId65" xr:uid="{265B3ED4-16D0-4CB9-BA30-29F88F3F4A3B}"/>
    <hyperlink ref="P37" r:id="rId66" xr:uid="{2F330CC9-28A5-4530-B6F2-E9DBC0A93E95}"/>
    <hyperlink ref="P13" r:id="rId67" xr:uid="{2ECDFE1C-408B-446D-A052-51F9492F16D7}"/>
    <hyperlink ref="P12" r:id="rId68" xr:uid="{2D9E1FBB-F3B1-4306-9244-2E1B875252E5}"/>
    <hyperlink ref="P28" r:id="rId69" xr:uid="{6A621CD7-25E6-4986-BCBA-67FBDA061250}"/>
    <hyperlink ref="P29" r:id="rId70" xr:uid="{ED335DC5-F101-4018-98C2-0A6B4EF9FE16}"/>
    <hyperlink ref="L3" r:id="rId71" xr:uid="{388C2F8E-CACA-484B-9EA7-C1014EDA3488}"/>
    <hyperlink ref="P5" r:id="rId72" xr:uid="{86582743-75A3-48AF-8BE5-A897AC7737D2}"/>
    <hyperlink ref="P49" r:id="rId73" xr:uid="{908513FF-5C4A-4362-BC7C-D8F7BC31149A}"/>
  </hyperlinks>
  <pageMargins left="0.7" right="0.7" top="0.75" bottom="0.75" header="0.3" footer="0.3"/>
  <pageSetup paperSize="9" orientation="portrait" r:id="rId7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CDFA89-BD0E-470F-80BA-0ADF74AD8FB4}">
  <dimension ref="A1:U57"/>
  <sheetViews>
    <sheetView showGridLines="0" tabSelected="1" zoomScale="85" zoomScaleNormal="85" workbookViewId="0">
      <pane xSplit="2" ySplit="3" topLeftCell="C4" activePane="bottomRight" state="frozen"/>
      <selection pane="topRight" activeCell="C1" sqref="C1"/>
      <selection pane="bottomLeft" activeCell="A4" sqref="A4"/>
      <selection pane="bottomRight" activeCell="E15" sqref="E15"/>
    </sheetView>
  </sheetViews>
  <sheetFormatPr defaultColWidth="9.28515625" defaultRowHeight="15" x14ac:dyDescent="0.25"/>
  <cols>
    <col min="1" max="1" width="3.5703125" style="1" bestFit="1" customWidth="1"/>
    <col min="2" max="2" width="43.28515625" style="1" bestFit="1" customWidth="1"/>
    <col min="3" max="3" width="53.42578125" style="1" customWidth="1"/>
    <col min="4" max="4" width="27.5703125" style="2" bestFit="1" customWidth="1"/>
    <col min="5" max="5" width="82.42578125" style="1" customWidth="1"/>
    <col min="6" max="6" width="12.85546875" style="1" bestFit="1" customWidth="1"/>
    <col min="7" max="7" width="10.7109375" style="2" bestFit="1" customWidth="1"/>
    <col min="8" max="8" width="16.28515625" style="2" bestFit="1" customWidth="1"/>
    <col min="9" max="9" width="15.85546875" style="2" bestFit="1" customWidth="1"/>
    <col min="10" max="10" width="16.85546875" style="2" bestFit="1" customWidth="1"/>
    <col min="11" max="13" width="15.140625" style="2" bestFit="1" customWidth="1"/>
    <col min="14" max="14" width="29.28515625" style="2" bestFit="1" customWidth="1"/>
    <col min="15" max="15" width="15.140625" style="2" bestFit="1" customWidth="1"/>
    <col min="16" max="16" width="11.28515625" style="2" bestFit="1" customWidth="1"/>
    <col min="17" max="17" width="14.28515625" style="2" bestFit="1" customWidth="1"/>
    <col min="18" max="18" width="12" style="2" bestFit="1" customWidth="1"/>
    <col min="19" max="19" width="13.7109375" style="2" bestFit="1" customWidth="1"/>
    <col min="20" max="20" width="14.28515625" style="2" bestFit="1" customWidth="1"/>
    <col min="21" max="21" width="12.42578125" style="1" customWidth="1"/>
    <col min="22" max="16384" width="9.28515625" style="1"/>
  </cols>
  <sheetData>
    <row r="1" spans="1:21" x14ac:dyDescent="0.25">
      <c r="A1" s="80" t="s">
        <v>369</v>
      </c>
      <c r="B1" s="80"/>
      <c r="C1" s="30"/>
      <c r="D1" s="31"/>
      <c r="E1" s="30"/>
      <c r="F1" s="30"/>
      <c r="G1" s="33"/>
      <c r="H1" s="33"/>
      <c r="I1" s="33"/>
      <c r="J1" s="33"/>
      <c r="K1" s="33"/>
      <c r="L1" s="33"/>
      <c r="M1" s="33"/>
      <c r="N1" s="33"/>
      <c r="O1" s="33"/>
      <c r="P1" s="33"/>
      <c r="Q1" s="33"/>
      <c r="R1" s="33"/>
      <c r="S1" s="33"/>
      <c r="T1" s="33"/>
      <c r="U1" s="32"/>
    </row>
    <row r="2" spans="1:21" x14ac:dyDescent="0.25">
      <c r="A2" s="82" t="s">
        <v>189</v>
      </c>
      <c r="B2" s="82" t="s">
        <v>320</v>
      </c>
      <c r="C2" s="83" t="s">
        <v>378</v>
      </c>
      <c r="D2" s="83" t="s">
        <v>4</v>
      </c>
      <c r="E2" s="83" t="s">
        <v>374</v>
      </c>
      <c r="F2" s="83" t="s">
        <v>377</v>
      </c>
      <c r="G2" s="81" t="s">
        <v>339</v>
      </c>
      <c r="H2" s="81" t="s">
        <v>338</v>
      </c>
      <c r="I2" s="81" t="s">
        <v>354</v>
      </c>
      <c r="J2" s="81"/>
      <c r="K2" s="81"/>
      <c r="L2" s="81"/>
      <c r="M2" s="81"/>
      <c r="N2" s="81"/>
      <c r="O2" s="81"/>
      <c r="P2" s="81"/>
      <c r="Q2" s="81"/>
      <c r="R2" s="81"/>
      <c r="S2" s="81"/>
      <c r="T2" s="81"/>
      <c r="U2" s="32"/>
    </row>
    <row r="3" spans="1:21" x14ac:dyDescent="0.25">
      <c r="A3" s="82"/>
      <c r="B3" s="82"/>
      <c r="C3" s="84"/>
      <c r="D3" s="84"/>
      <c r="E3" s="84"/>
      <c r="F3" s="84"/>
      <c r="G3" s="81"/>
      <c r="H3" s="81"/>
      <c r="I3" s="29" t="s">
        <v>359</v>
      </c>
      <c r="J3" s="29" t="s">
        <v>360</v>
      </c>
      <c r="K3" s="29" t="s">
        <v>361</v>
      </c>
      <c r="L3" s="29" t="s">
        <v>355</v>
      </c>
      <c r="M3" s="32" t="s">
        <v>356</v>
      </c>
      <c r="N3" s="32" t="s">
        <v>357</v>
      </c>
      <c r="O3" s="32" t="s">
        <v>362</v>
      </c>
      <c r="P3" s="32" t="s">
        <v>358</v>
      </c>
      <c r="Q3" s="32" t="s">
        <v>363</v>
      </c>
      <c r="R3" s="32" t="s">
        <v>364</v>
      </c>
      <c r="S3" s="32" t="s">
        <v>365</v>
      </c>
      <c r="T3" s="32" t="s">
        <v>366</v>
      </c>
      <c r="U3" s="32" t="s">
        <v>557</v>
      </c>
    </row>
    <row r="4" spans="1:21" x14ac:dyDescent="0.25">
      <c r="A4" s="28">
        <v>1</v>
      </c>
      <c r="B4" s="24" t="s">
        <v>218</v>
      </c>
      <c r="C4" s="24" t="s">
        <v>511</v>
      </c>
      <c r="D4" s="25" t="s">
        <v>383</v>
      </c>
      <c r="E4" s="35" t="s">
        <v>217</v>
      </c>
      <c r="F4" s="24"/>
      <c r="G4" s="25" t="s">
        <v>312</v>
      </c>
      <c r="H4" s="25" t="s">
        <v>13</v>
      </c>
      <c r="I4" s="34" t="s">
        <v>398</v>
      </c>
      <c r="J4" s="34" t="s">
        <v>398</v>
      </c>
      <c r="K4" s="34" t="s">
        <v>398</v>
      </c>
      <c r="L4" s="34">
        <v>45764</v>
      </c>
      <c r="M4" s="25" t="s">
        <v>398</v>
      </c>
      <c r="N4" s="34">
        <v>45819</v>
      </c>
      <c r="O4" s="25" t="s">
        <v>398</v>
      </c>
      <c r="P4" s="25" t="s">
        <v>398</v>
      </c>
      <c r="Q4" s="25"/>
      <c r="R4" s="25"/>
      <c r="S4" s="34">
        <v>45986</v>
      </c>
      <c r="T4" s="25"/>
      <c r="U4" s="25"/>
    </row>
    <row r="5" spans="1:21" x14ac:dyDescent="0.25">
      <c r="A5" s="28">
        <v>2</v>
      </c>
      <c r="B5" s="24" t="s">
        <v>205</v>
      </c>
      <c r="C5" s="24" t="s">
        <v>526</v>
      </c>
      <c r="D5" s="25" t="s">
        <v>14</v>
      </c>
      <c r="E5" s="35" t="s">
        <v>375</v>
      </c>
      <c r="F5" s="24"/>
      <c r="G5" s="25" t="s">
        <v>292</v>
      </c>
      <c r="H5" s="25" t="s">
        <v>28</v>
      </c>
      <c r="I5" s="34">
        <v>45664</v>
      </c>
      <c r="J5" s="34">
        <v>45701</v>
      </c>
      <c r="K5" s="34">
        <v>45720</v>
      </c>
      <c r="L5" s="34">
        <v>45754</v>
      </c>
      <c r="M5" s="34">
        <v>45790</v>
      </c>
      <c r="N5" s="34">
        <v>45828</v>
      </c>
      <c r="O5" s="34">
        <v>45861</v>
      </c>
      <c r="P5" s="34">
        <v>45897</v>
      </c>
      <c r="Q5" s="34"/>
      <c r="R5" s="34"/>
      <c r="S5" s="34"/>
      <c r="T5" s="34"/>
      <c r="U5" s="25"/>
    </row>
    <row r="6" spans="1:21" x14ac:dyDescent="0.25">
      <c r="A6" s="28">
        <v>3</v>
      </c>
      <c r="B6" s="24" t="s">
        <v>321</v>
      </c>
      <c r="C6" s="24" t="s">
        <v>525</v>
      </c>
      <c r="D6" s="25" t="s">
        <v>14</v>
      </c>
      <c r="E6" s="35" t="s">
        <v>551</v>
      </c>
      <c r="F6" s="24"/>
      <c r="G6" s="25" t="s">
        <v>293</v>
      </c>
      <c r="H6" s="25" t="s">
        <v>28</v>
      </c>
      <c r="I6" s="34">
        <v>45664</v>
      </c>
      <c r="J6" s="34">
        <v>45701</v>
      </c>
      <c r="K6" s="34">
        <v>45720</v>
      </c>
      <c r="L6" s="34">
        <v>45754</v>
      </c>
      <c r="M6" s="34">
        <v>45792</v>
      </c>
      <c r="N6" s="34">
        <v>45828</v>
      </c>
      <c r="O6" s="34">
        <v>45863</v>
      </c>
      <c r="P6" s="34">
        <v>45897</v>
      </c>
      <c r="Q6" s="34"/>
      <c r="R6" s="34"/>
      <c r="S6" s="34"/>
      <c r="T6" s="34"/>
      <c r="U6" s="25"/>
    </row>
    <row r="7" spans="1:21" x14ac:dyDescent="0.25">
      <c r="A7" s="28">
        <v>4</v>
      </c>
      <c r="B7" s="24" t="s">
        <v>213</v>
      </c>
      <c r="C7" s="24" t="s">
        <v>403</v>
      </c>
      <c r="D7" s="25" t="s">
        <v>14</v>
      </c>
      <c r="E7" s="35" t="s">
        <v>549</v>
      </c>
      <c r="F7" s="24">
        <v>2021</v>
      </c>
      <c r="G7" s="36" t="s">
        <v>288</v>
      </c>
      <c r="H7" s="25" t="s">
        <v>13</v>
      </c>
      <c r="I7" s="34">
        <v>45665</v>
      </c>
      <c r="J7" s="34" t="s">
        <v>398</v>
      </c>
      <c r="K7" s="34" t="s">
        <v>398</v>
      </c>
      <c r="L7" s="34">
        <v>45764</v>
      </c>
      <c r="M7" s="34" t="s">
        <v>398</v>
      </c>
      <c r="N7" s="34" t="s">
        <v>398</v>
      </c>
      <c r="O7" s="34">
        <v>45861</v>
      </c>
      <c r="P7" s="34" t="s">
        <v>398</v>
      </c>
      <c r="Q7" s="34"/>
      <c r="R7" s="34"/>
      <c r="S7" s="34"/>
      <c r="T7" s="34"/>
      <c r="U7" s="25"/>
    </row>
    <row r="8" spans="1:21" x14ac:dyDescent="0.25">
      <c r="A8" s="28">
        <v>5</v>
      </c>
      <c r="B8" s="24" t="s">
        <v>190</v>
      </c>
      <c r="C8" s="24" t="s">
        <v>376</v>
      </c>
      <c r="D8" s="25" t="s">
        <v>14</v>
      </c>
      <c r="E8" s="35" t="s">
        <v>191</v>
      </c>
      <c r="F8" s="24"/>
      <c r="G8" s="25" t="s">
        <v>277</v>
      </c>
      <c r="H8" s="25" t="s">
        <v>28</v>
      </c>
      <c r="I8" s="34">
        <v>45664</v>
      </c>
      <c r="J8" s="34">
        <v>45701</v>
      </c>
      <c r="K8" s="34">
        <v>45720</v>
      </c>
      <c r="L8" s="34">
        <v>45754</v>
      </c>
      <c r="M8" s="34">
        <v>45796</v>
      </c>
      <c r="N8" s="54">
        <v>45828</v>
      </c>
      <c r="O8" s="34">
        <v>45861</v>
      </c>
      <c r="P8" s="34">
        <v>45897</v>
      </c>
      <c r="Q8" s="34"/>
      <c r="R8" s="34"/>
      <c r="S8" s="34"/>
      <c r="T8" s="34"/>
      <c r="U8" s="25"/>
    </row>
    <row r="9" spans="1:21" x14ac:dyDescent="0.25">
      <c r="A9" s="43">
        <v>6</v>
      </c>
      <c r="B9" s="44" t="s">
        <v>322</v>
      </c>
      <c r="C9" s="44" t="s">
        <v>404</v>
      </c>
      <c r="D9" s="45" t="s">
        <v>383</v>
      </c>
      <c r="E9" s="46" t="s">
        <v>399</v>
      </c>
      <c r="F9" s="44">
        <v>2021</v>
      </c>
      <c r="G9" s="60" t="s">
        <v>351</v>
      </c>
      <c r="H9" s="45" t="s">
        <v>13</v>
      </c>
      <c r="I9" s="37" t="s">
        <v>398</v>
      </c>
      <c r="J9" s="37" t="s">
        <v>398</v>
      </c>
      <c r="K9" s="37" t="s">
        <v>398</v>
      </c>
      <c r="L9" s="37">
        <v>45764</v>
      </c>
      <c r="M9" s="37" t="s">
        <v>398</v>
      </c>
      <c r="N9" s="37">
        <v>45814</v>
      </c>
      <c r="O9" s="61" t="s">
        <v>544</v>
      </c>
      <c r="P9" s="61" t="s">
        <v>544</v>
      </c>
      <c r="Q9" s="34"/>
      <c r="R9" s="34"/>
      <c r="S9" s="34"/>
      <c r="T9" s="34"/>
      <c r="U9" s="25"/>
    </row>
    <row r="10" spans="1:21" s="42" customFormat="1" x14ac:dyDescent="0.25">
      <c r="A10" s="38">
        <v>7</v>
      </c>
      <c r="B10" s="39" t="s">
        <v>323</v>
      </c>
      <c r="C10" s="39"/>
      <c r="D10" s="40" t="s">
        <v>433</v>
      </c>
      <c r="E10" s="71" t="s">
        <v>504</v>
      </c>
      <c r="F10" s="39"/>
      <c r="G10" s="40" t="s">
        <v>503</v>
      </c>
      <c r="H10" s="40" t="s">
        <v>106</v>
      </c>
      <c r="I10" s="78"/>
      <c r="J10" s="79"/>
      <c r="K10" s="41">
        <v>45721</v>
      </c>
      <c r="L10" s="34" t="s">
        <v>398</v>
      </c>
      <c r="M10" s="34" t="s">
        <v>398</v>
      </c>
      <c r="N10" s="34" t="s">
        <v>398</v>
      </c>
      <c r="O10" s="34">
        <v>45862</v>
      </c>
      <c r="P10" s="41" t="s">
        <v>398</v>
      </c>
      <c r="Q10" s="41"/>
      <c r="R10" s="41"/>
      <c r="S10" s="41"/>
      <c r="T10" s="41"/>
      <c r="U10" s="25"/>
    </row>
    <row r="11" spans="1:21" x14ac:dyDescent="0.25">
      <c r="A11" s="28">
        <v>8</v>
      </c>
      <c r="B11" s="24" t="s">
        <v>183</v>
      </c>
      <c r="C11" s="24" t="s">
        <v>524</v>
      </c>
      <c r="D11" s="25" t="s">
        <v>14</v>
      </c>
      <c r="E11" s="35" t="s">
        <v>181</v>
      </c>
      <c r="F11" s="24"/>
      <c r="G11" s="25" t="s">
        <v>263</v>
      </c>
      <c r="H11" s="25" t="s">
        <v>28</v>
      </c>
      <c r="I11" s="34">
        <v>45664</v>
      </c>
      <c r="J11" s="34">
        <v>45701</v>
      </c>
      <c r="K11" s="34">
        <v>45729</v>
      </c>
      <c r="L11" s="34">
        <v>45754</v>
      </c>
      <c r="M11" s="34">
        <v>45796</v>
      </c>
      <c r="N11" s="34">
        <v>45828</v>
      </c>
      <c r="O11" s="34">
        <v>45862</v>
      </c>
      <c r="P11" s="34">
        <v>45897</v>
      </c>
      <c r="Q11" s="34"/>
      <c r="R11" s="34"/>
      <c r="S11" s="34"/>
      <c r="T11" s="34"/>
      <c r="U11" s="25"/>
    </row>
    <row r="12" spans="1:21" x14ac:dyDescent="0.25">
      <c r="A12" s="28">
        <v>9</v>
      </c>
      <c r="B12" s="24" t="s">
        <v>222</v>
      </c>
      <c r="C12" s="24" t="s">
        <v>424</v>
      </c>
      <c r="D12" s="25" t="s">
        <v>383</v>
      </c>
      <c r="E12" s="35" t="s">
        <v>250</v>
      </c>
      <c r="F12" s="24"/>
      <c r="G12" s="25" t="s">
        <v>347</v>
      </c>
      <c r="H12" s="25" t="s">
        <v>22</v>
      </c>
      <c r="I12" s="34" t="s">
        <v>398</v>
      </c>
      <c r="J12" s="34" t="s">
        <v>398</v>
      </c>
      <c r="K12" s="34" t="s">
        <v>398</v>
      </c>
      <c r="L12" s="34" t="s">
        <v>398</v>
      </c>
      <c r="M12" s="34" t="s">
        <v>398</v>
      </c>
      <c r="N12" s="34">
        <v>45819</v>
      </c>
      <c r="O12" s="34">
        <v>45863</v>
      </c>
      <c r="P12" s="41" t="s">
        <v>398</v>
      </c>
      <c r="Q12" s="34"/>
      <c r="R12" s="34"/>
      <c r="S12" s="34"/>
      <c r="T12" s="34"/>
      <c r="U12" s="25"/>
    </row>
    <row r="13" spans="1:21" x14ac:dyDescent="0.25">
      <c r="A13" s="28">
        <v>10</v>
      </c>
      <c r="B13" s="24" t="s">
        <v>223</v>
      </c>
      <c r="C13" s="24" t="s">
        <v>425</v>
      </c>
      <c r="D13" s="25" t="s">
        <v>383</v>
      </c>
      <c r="E13" s="35" t="s">
        <v>250</v>
      </c>
      <c r="F13" s="24"/>
      <c r="G13" s="36" t="s">
        <v>348</v>
      </c>
      <c r="H13" s="25" t="s">
        <v>22</v>
      </c>
      <c r="I13" s="34" t="s">
        <v>398</v>
      </c>
      <c r="J13" s="34" t="s">
        <v>398</v>
      </c>
      <c r="K13" s="34" t="s">
        <v>398</v>
      </c>
      <c r="L13" s="34" t="s">
        <v>398</v>
      </c>
      <c r="M13" s="34" t="s">
        <v>398</v>
      </c>
      <c r="N13" s="34">
        <v>45819</v>
      </c>
      <c r="O13" s="34">
        <v>45863</v>
      </c>
      <c r="P13" s="34" t="s">
        <v>398</v>
      </c>
      <c r="Q13" s="34"/>
      <c r="R13" s="34"/>
      <c r="S13" s="34"/>
      <c r="T13" s="34"/>
      <c r="U13" s="25"/>
    </row>
    <row r="14" spans="1:21" x14ac:dyDescent="0.25">
      <c r="A14" s="28">
        <v>11</v>
      </c>
      <c r="B14" s="24" t="s">
        <v>324</v>
      </c>
      <c r="C14" s="24" t="s">
        <v>426</v>
      </c>
      <c r="D14" s="25" t="s">
        <v>383</v>
      </c>
      <c r="E14" s="35" t="s">
        <v>250</v>
      </c>
      <c r="F14" s="24"/>
      <c r="G14" s="36" t="s">
        <v>345</v>
      </c>
      <c r="H14" s="25" t="s">
        <v>22</v>
      </c>
      <c r="I14" s="34" t="s">
        <v>398</v>
      </c>
      <c r="J14" s="34" t="s">
        <v>398</v>
      </c>
      <c r="K14" s="34" t="s">
        <v>398</v>
      </c>
      <c r="L14" s="34">
        <v>45772</v>
      </c>
      <c r="M14" s="34" t="s">
        <v>398</v>
      </c>
      <c r="N14" s="34" t="s">
        <v>398</v>
      </c>
      <c r="O14" s="34" t="s">
        <v>398</v>
      </c>
      <c r="P14" s="34" t="s">
        <v>398</v>
      </c>
      <c r="Q14" s="34"/>
      <c r="R14" s="34"/>
      <c r="S14" s="34"/>
      <c r="T14" s="34"/>
      <c r="U14" s="25"/>
    </row>
    <row r="15" spans="1:21" x14ac:dyDescent="0.25">
      <c r="A15" s="28">
        <v>12</v>
      </c>
      <c r="B15" s="24" t="s">
        <v>325</v>
      </c>
      <c r="C15" s="24" t="s">
        <v>380</v>
      </c>
      <c r="D15" s="25" t="s">
        <v>512</v>
      </c>
      <c r="E15" s="35" t="s">
        <v>381</v>
      </c>
      <c r="F15" s="24"/>
      <c r="G15" s="25" t="s">
        <v>379</v>
      </c>
      <c r="H15" s="25" t="s">
        <v>28</v>
      </c>
      <c r="I15" s="34">
        <v>45664</v>
      </c>
      <c r="J15" s="34">
        <v>45701</v>
      </c>
      <c r="K15" s="34">
        <v>45720</v>
      </c>
      <c r="L15" s="34">
        <v>45764</v>
      </c>
      <c r="M15" s="34">
        <v>45796</v>
      </c>
      <c r="N15" s="2" t="s">
        <v>519</v>
      </c>
      <c r="O15" s="34">
        <v>45862</v>
      </c>
      <c r="P15" s="34">
        <v>45896</v>
      </c>
      <c r="Q15" s="34"/>
      <c r="R15" s="34"/>
      <c r="S15" s="34"/>
      <c r="T15" s="34"/>
      <c r="U15" s="25"/>
    </row>
    <row r="16" spans="1:21" x14ac:dyDescent="0.25">
      <c r="A16" s="28">
        <v>13</v>
      </c>
      <c r="B16" s="24" t="s">
        <v>326</v>
      </c>
      <c r="C16" s="24" t="s">
        <v>406</v>
      </c>
      <c r="D16" s="25" t="s">
        <v>14</v>
      </c>
      <c r="E16" s="35" t="s">
        <v>405</v>
      </c>
      <c r="F16" s="24">
        <v>2020</v>
      </c>
      <c r="G16" s="36" t="s">
        <v>343</v>
      </c>
      <c r="H16" s="25" t="s">
        <v>13</v>
      </c>
      <c r="I16" s="34" t="s">
        <v>398</v>
      </c>
      <c r="J16" s="34" t="s">
        <v>398</v>
      </c>
      <c r="K16" s="34">
        <v>45729</v>
      </c>
      <c r="L16" s="34" t="s">
        <v>398</v>
      </c>
      <c r="M16" s="34" t="s">
        <v>398</v>
      </c>
      <c r="N16" s="34">
        <v>45814</v>
      </c>
      <c r="O16" s="34" t="s">
        <v>398</v>
      </c>
      <c r="P16" s="34" t="s">
        <v>398</v>
      </c>
      <c r="Q16" s="34"/>
      <c r="R16" s="34"/>
      <c r="S16" s="34"/>
      <c r="T16" s="34"/>
      <c r="U16" s="25"/>
    </row>
    <row r="17" spans="1:21" x14ac:dyDescent="0.25">
      <c r="A17" s="28">
        <v>14</v>
      </c>
      <c r="B17" s="24" t="s">
        <v>180</v>
      </c>
      <c r="C17" s="24" t="s">
        <v>427</v>
      </c>
      <c r="D17" s="25" t="s">
        <v>14</v>
      </c>
      <c r="E17" s="35" t="s">
        <v>548</v>
      </c>
      <c r="F17" s="24"/>
      <c r="G17" s="25" t="s">
        <v>428</v>
      </c>
      <c r="H17" s="25" t="s">
        <v>22</v>
      </c>
      <c r="I17" s="34" t="s">
        <v>398</v>
      </c>
      <c r="J17" s="34" t="s">
        <v>398</v>
      </c>
      <c r="K17" s="34" t="s">
        <v>398</v>
      </c>
      <c r="L17" s="34" t="s">
        <v>398</v>
      </c>
      <c r="M17" s="34" t="s">
        <v>398</v>
      </c>
      <c r="N17" s="34" t="s">
        <v>398</v>
      </c>
      <c r="O17" s="34" t="s">
        <v>398</v>
      </c>
      <c r="P17" s="34" t="s">
        <v>398</v>
      </c>
      <c r="Q17" s="34"/>
      <c r="R17" s="34"/>
      <c r="S17" s="34"/>
      <c r="T17" s="34"/>
      <c r="U17" s="25"/>
    </row>
    <row r="18" spans="1:21" x14ac:dyDescent="0.25">
      <c r="A18" s="43">
        <v>15</v>
      </c>
      <c r="B18" s="44" t="s">
        <v>249</v>
      </c>
      <c r="C18" s="44" t="s">
        <v>407</v>
      </c>
      <c r="D18" s="45" t="s">
        <v>14</v>
      </c>
      <c r="E18" s="44" t="s">
        <v>304</v>
      </c>
      <c r="F18" s="44"/>
      <c r="G18" s="45" t="s">
        <v>306</v>
      </c>
      <c r="H18" s="45" t="s">
        <v>13</v>
      </c>
      <c r="I18" s="37" t="s">
        <v>398</v>
      </c>
      <c r="J18" s="37">
        <v>45705</v>
      </c>
      <c r="K18" s="37" t="s">
        <v>398</v>
      </c>
      <c r="L18" s="37" t="s">
        <v>398</v>
      </c>
      <c r="M18" s="37" t="s">
        <v>398</v>
      </c>
      <c r="N18" s="37" t="s">
        <v>398</v>
      </c>
      <c r="O18" s="37" t="s">
        <v>521</v>
      </c>
      <c r="P18" s="37" t="s">
        <v>521</v>
      </c>
      <c r="Q18" s="34"/>
      <c r="R18" s="34"/>
      <c r="S18" s="34"/>
      <c r="T18" s="34"/>
      <c r="U18" s="25"/>
    </row>
    <row r="19" spans="1:21" x14ac:dyDescent="0.25">
      <c r="A19" s="28">
        <v>16</v>
      </c>
      <c r="B19" s="24" t="s">
        <v>307</v>
      </c>
      <c r="C19" s="24" t="s">
        <v>408</v>
      </c>
      <c r="D19" s="25" t="s">
        <v>14</v>
      </c>
      <c r="E19" s="35" t="s">
        <v>309</v>
      </c>
      <c r="F19" s="24"/>
      <c r="G19" s="25" t="s">
        <v>311</v>
      </c>
      <c r="H19" s="25" t="s">
        <v>13</v>
      </c>
      <c r="I19" s="34" t="s">
        <v>398</v>
      </c>
      <c r="J19" s="34">
        <v>45705</v>
      </c>
      <c r="K19" s="34" t="s">
        <v>398</v>
      </c>
      <c r="L19" s="34" t="s">
        <v>398</v>
      </c>
      <c r="M19" s="34" t="s">
        <v>398</v>
      </c>
      <c r="N19" s="34">
        <v>45814</v>
      </c>
      <c r="O19" s="34" t="s">
        <v>398</v>
      </c>
      <c r="P19" s="34" t="s">
        <v>398</v>
      </c>
      <c r="Q19" s="34"/>
      <c r="R19" s="34"/>
      <c r="S19" s="34"/>
      <c r="T19" s="34"/>
      <c r="U19" s="25"/>
    </row>
    <row r="20" spans="1:21" x14ac:dyDescent="0.25">
      <c r="A20" s="28">
        <v>17</v>
      </c>
      <c r="B20" s="24" t="s">
        <v>202</v>
      </c>
      <c r="C20" s="24" t="s">
        <v>429</v>
      </c>
      <c r="D20" s="25" t="s">
        <v>14</v>
      </c>
      <c r="E20" s="35" t="s">
        <v>256</v>
      </c>
      <c r="F20" s="24"/>
      <c r="G20" s="25" t="s">
        <v>264</v>
      </c>
      <c r="H20" s="25" t="s">
        <v>22</v>
      </c>
      <c r="I20" s="34" t="s">
        <v>398</v>
      </c>
      <c r="J20" s="34" t="s">
        <v>398</v>
      </c>
      <c r="K20" s="34" t="s">
        <v>398</v>
      </c>
      <c r="L20" s="34" t="s">
        <v>398</v>
      </c>
      <c r="M20" s="34" t="s">
        <v>398</v>
      </c>
      <c r="N20" s="34" t="s">
        <v>398</v>
      </c>
      <c r="O20" s="34">
        <v>45862</v>
      </c>
      <c r="P20" s="34" t="s">
        <v>398</v>
      </c>
      <c r="Q20" s="34"/>
      <c r="R20" s="34"/>
      <c r="S20" s="34"/>
      <c r="T20" s="34"/>
      <c r="U20" s="25"/>
    </row>
    <row r="21" spans="1:21" x14ac:dyDescent="0.25">
      <c r="A21" s="28">
        <v>18</v>
      </c>
      <c r="B21" s="24" t="s">
        <v>327</v>
      </c>
      <c r="C21" s="24" t="s">
        <v>382</v>
      </c>
      <c r="D21" s="25" t="s">
        <v>14</v>
      </c>
      <c r="E21" s="35" t="s">
        <v>545</v>
      </c>
      <c r="F21" s="24">
        <v>2015</v>
      </c>
      <c r="G21" s="36" t="s">
        <v>342</v>
      </c>
      <c r="H21" s="25" t="s">
        <v>28</v>
      </c>
      <c r="I21" s="34">
        <v>45664</v>
      </c>
      <c r="J21" s="34">
        <v>45701</v>
      </c>
      <c r="K21" s="34">
        <v>45729</v>
      </c>
      <c r="L21" s="34">
        <v>45764</v>
      </c>
      <c r="M21" s="34">
        <v>45798</v>
      </c>
      <c r="N21" s="34" t="s">
        <v>519</v>
      </c>
      <c r="O21" s="34">
        <v>45863</v>
      </c>
      <c r="P21" s="34">
        <v>45897</v>
      </c>
      <c r="Q21" s="34"/>
      <c r="R21" s="34"/>
      <c r="S21" s="34"/>
      <c r="T21" s="34"/>
      <c r="U21" s="25"/>
    </row>
    <row r="22" spans="1:21" x14ac:dyDescent="0.25">
      <c r="A22" s="28">
        <v>19</v>
      </c>
      <c r="B22" s="24" t="s">
        <v>204</v>
      </c>
      <c r="C22" s="24" t="s">
        <v>430</v>
      </c>
      <c r="D22" s="25" t="s">
        <v>14</v>
      </c>
      <c r="E22" s="35" t="s">
        <v>546</v>
      </c>
      <c r="F22" s="24"/>
      <c r="G22" s="25" t="s">
        <v>267</v>
      </c>
      <c r="H22" s="25" t="s">
        <v>22</v>
      </c>
      <c r="I22" s="34" t="s">
        <v>398</v>
      </c>
      <c r="J22" s="34">
        <v>45705</v>
      </c>
      <c r="K22" s="34" t="s">
        <v>498</v>
      </c>
      <c r="L22" s="34" t="s">
        <v>398</v>
      </c>
      <c r="M22" s="34" t="s">
        <v>398</v>
      </c>
      <c r="N22" s="34" t="s">
        <v>398</v>
      </c>
      <c r="O22" s="34" t="s">
        <v>398</v>
      </c>
      <c r="P22" s="34" t="s">
        <v>398</v>
      </c>
      <c r="Q22" s="34"/>
      <c r="R22" s="34"/>
      <c r="S22" s="34"/>
      <c r="T22" s="34"/>
      <c r="U22" s="25"/>
    </row>
    <row r="23" spans="1:21" x14ac:dyDescent="0.25">
      <c r="A23" s="28">
        <v>20</v>
      </c>
      <c r="B23" s="24" t="s">
        <v>238</v>
      </c>
      <c r="C23" s="24" t="s">
        <v>385</v>
      </c>
      <c r="D23" s="25" t="s">
        <v>383</v>
      </c>
      <c r="E23" s="35" t="s">
        <v>384</v>
      </c>
      <c r="F23" s="24"/>
      <c r="G23" s="25" t="s">
        <v>318</v>
      </c>
      <c r="H23" s="25" t="s">
        <v>28</v>
      </c>
      <c r="I23" s="34">
        <v>45664</v>
      </c>
      <c r="J23" s="34">
        <v>45702</v>
      </c>
      <c r="K23" s="34">
        <v>45720</v>
      </c>
      <c r="L23" s="34">
        <v>45754</v>
      </c>
      <c r="M23" s="34">
        <v>45798</v>
      </c>
      <c r="N23" s="34" t="s">
        <v>519</v>
      </c>
      <c r="O23" s="34">
        <v>45862</v>
      </c>
      <c r="P23" s="34"/>
      <c r="Q23" s="34"/>
      <c r="R23" s="34"/>
      <c r="S23" s="34"/>
      <c r="T23" s="34"/>
      <c r="U23" s="25"/>
    </row>
    <row r="24" spans="1:21" x14ac:dyDescent="0.25">
      <c r="A24" s="28">
        <v>21</v>
      </c>
      <c r="B24" s="24" t="s">
        <v>237</v>
      </c>
      <c r="C24" s="24" t="s">
        <v>385</v>
      </c>
      <c r="D24" s="25" t="s">
        <v>383</v>
      </c>
      <c r="E24" s="35" t="s">
        <v>386</v>
      </c>
      <c r="F24" s="24"/>
      <c r="G24" s="25" t="s">
        <v>317</v>
      </c>
      <c r="H24" s="25" t="s">
        <v>28</v>
      </c>
      <c r="I24" s="34">
        <v>45664</v>
      </c>
      <c r="J24" s="34">
        <v>45702</v>
      </c>
      <c r="K24" s="34" t="s">
        <v>498</v>
      </c>
      <c r="L24" s="34">
        <v>45754</v>
      </c>
      <c r="M24" s="34">
        <v>45798</v>
      </c>
      <c r="N24" s="34" t="s">
        <v>519</v>
      </c>
      <c r="O24" s="34">
        <v>45862</v>
      </c>
      <c r="P24" s="34"/>
      <c r="Q24" s="34"/>
      <c r="R24" s="34"/>
      <c r="S24" s="34"/>
      <c r="T24" s="34"/>
      <c r="U24" s="25"/>
    </row>
    <row r="25" spans="1:21" x14ac:dyDescent="0.25">
      <c r="A25" s="28">
        <v>22</v>
      </c>
      <c r="B25" s="24" t="s">
        <v>242</v>
      </c>
      <c r="C25" s="24" t="s">
        <v>409</v>
      </c>
      <c r="D25" s="25" t="s">
        <v>14</v>
      </c>
      <c r="E25" s="35" t="s">
        <v>241</v>
      </c>
      <c r="F25" s="24">
        <v>2021</v>
      </c>
      <c r="G25" s="25" t="s">
        <v>284</v>
      </c>
      <c r="H25" s="25" t="s">
        <v>13</v>
      </c>
      <c r="I25" s="34" t="s">
        <v>398</v>
      </c>
      <c r="J25" s="34" t="s">
        <v>398</v>
      </c>
      <c r="K25" s="34">
        <v>45721</v>
      </c>
      <c r="L25" s="34" t="s">
        <v>398</v>
      </c>
      <c r="M25" s="34" t="s">
        <v>398</v>
      </c>
      <c r="N25" s="34">
        <v>45814</v>
      </c>
      <c r="O25" s="34" t="s">
        <v>398</v>
      </c>
      <c r="P25" s="34" t="s">
        <v>398</v>
      </c>
      <c r="Q25" s="34"/>
      <c r="R25" s="34"/>
      <c r="S25" s="34"/>
      <c r="T25" s="34"/>
      <c r="U25" s="25"/>
    </row>
    <row r="26" spans="1:21" x14ac:dyDescent="0.25">
      <c r="A26" s="28">
        <v>23</v>
      </c>
      <c r="B26" s="24" t="s">
        <v>295</v>
      </c>
      <c r="C26" s="24" t="s">
        <v>387</v>
      </c>
      <c r="D26" s="25" t="s">
        <v>14</v>
      </c>
      <c r="E26" s="35" t="s">
        <v>547</v>
      </c>
      <c r="F26" s="24"/>
      <c r="G26" s="25" t="s">
        <v>297</v>
      </c>
      <c r="H26" s="25" t="s">
        <v>28</v>
      </c>
      <c r="I26" s="34">
        <v>45664</v>
      </c>
      <c r="J26" s="34">
        <v>45702</v>
      </c>
      <c r="K26" s="34">
        <v>45720</v>
      </c>
      <c r="L26" s="34">
        <v>45764</v>
      </c>
      <c r="M26" s="34">
        <v>45796</v>
      </c>
      <c r="N26" s="34">
        <v>45828</v>
      </c>
      <c r="O26" s="34">
        <v>45863</v>
      </c>
      <c r="P26" s="34">
        <v>45897</v>
      </c>
      <c r="Q26" s="34"/>
      <c r="R26" s="34"/>
      <c r="S26" s="34"/>
      <c r="T26" s="34"/>
      <c r="U26" s="25"/>
    </row>
    <row r="27" spans="1:21" x14ac:dyDescent="0.25">
      <c r="A27" s="28">
        <v>24</v>
      </c>
      <c r="B27" s="24" t="s">
        <v>298</v>
      </c>
      <c r="C27" s="24" t="s">
        <v>388</v>
      </c>
      <c r="D27" s="25" t="s">
        <v>14</v>
      </c>
      <c r="E27" s="35" t="s">
        <v>547</v>
      </c>
      <c r="F27" s="24"/>
      <c r="G27" s="25" t="s">
        <v>301</v>
      </c>
      <c r="H27" s="25" t="s">
        <v>28</v>
      </c>
      <c r="I27" s="34">
        <v>45664</v>
      </c>
      <c r="J27" s="34">
        <v>45702</v>
      </c>
      <c r="K27" s="34">
        <v>45720</v>
      </c>
      <c r="L27" s="34">
        <v>45764</v>
      </c>
      <c r="M27" s="34">
        <v>45796</v>
      </c>
      <c r="N27" s="34">
        <v>45828</v>
      </c>
      <c r="O27" s="34">
        <v>45863</v>
      </c>
      <c r="P27" s="34">
        <v>45897</v>
      </c>
      <c r="Q27" s="34"/>
      <c r="R27" s="34"/>
      <c r="S27" s="34"/>
      <c r="T27" s="34"/>
      <c r="U27" s="25"/>
    </row>
    <row r="28" spans="1:21" x14ac:dyDescent="0.25">
      <c r="A28" s="28">
        <v>25</v>
      </c>
      <c r="B28" s="24" t="s">
        <v>215</v>
      </c>
      <c r="C28" s="24" t="s">
        <v>517</v>
      </c>
      <c r="D28" s="25" t="s">
        <v>14</v>
      </c>
      <c r="E28" s="35" t="s">
        <v>289</v>
      </c>
      <c r="F28" s="24">
        <v>2021</v>
      </c>
      <c r="G28" s="25" t="s">
        <v>290</v>
      </c>
      <c r="H28" s="25" t="s">
        <v>13</v>
      </c>
      <c r="I28" s="34" t="s">
        <v>398</v>
      </c>
      <c r="J28" s="34">
        <v>45705</v>
      </c>
      <c r="K28" s="34" t="s">
        <v>502</v>
      </c>
      <c r="L28" s="34" t="s">
        <v>398</v>
      </c>
      <c r="M28" s="34" t="s">
        <v>398</v>
      </c>
      <c r="N28" s="34">
        <v>45814</v>
      </c>
      <c r="O28" s="34" t="s">
        <v>398</v>
      </c>
      <c r="P28" s="34" t="s">
        <v>398</v>
      </c>
      <c r="Q28" s="34"/>
      <c r="R28" s="34"/>
      <c r="S28" s="34"/>
      <c r="T28" s="34"/>
      <c r="U28" s="25"/>
    </row>
    <row r="29" spans="1:21" x14ac:dyDescent="0.25">
      <c r="A29" s="28">
        <v>26</v>
      </c>
      <c r="B29" s="24" t="s">
        <v>542</v>
      </c>
      <c r="C29" s="24" t="s">
        <v>416</v>
      </c>
      <c r="D29" s="25" t="s">
        <v>14</v>
      </c>
      <c r="E29" s="35" t="s">
        <v>289</v>
      </c>
      <c r="F29" s="24">
        <v>2021</v>
      </c>
      <c r="G29" s="36" t="s">
        <v>344</v>
      </c>
      <c r="H29" s="25" t="s">
        <v>13</v>
      </c>
      <c r="I29" s="34" t="s">
        <v>398</v>
      </c>
      <c r="J29" s="34">
        <v>45705</v>
      </c>
      <c r="K29" s="34" t="s">
        <v>398</v>
      </c>
      <c r="L29" s="34" t="s">
        <v>398</v>
      </c>
      <c r="M29" s="34" t="s">
        <v>398</v>
      </c>
      <c r="N29" s="34">
        <v>45814</v>
      </c>
      <c r="O29" s="34" t="s">
        <v>398</v>
      </c>
      <c r="P29" s="34" t="s">
        <v>398</v>
      </c>
      <c r="Q29" s="34"/>
      <c r="R29" s="34"/>
      <c r="S29" s="34"/>
      <c r="T29" s="34"/>
      <c r="U29" s="25"/>
    </row>
    <row r="30" spans="1:21" x14ac:dyDescent="0.25">
      <c r="A30" s="28">
        <v>27</v>
      </c>
      <c r="B30" s="24" t="s">
        <v>220</v>
      </c>
      <c r="C30" s="24" t="s">
        <v>422</v>
      </c>
      <c r="D30" s="25" t="s">
        <v>383</v>
      </c>
      <c r="E30" s="35" t="s">
        <v>399</v>
      </c>
      <c r="F30" s="24"/>
      <c r="G30" s="25" t="s">
        <v>313</v>
      </c>
      <c r="H30" s="25" t="s">
        <v>106</v>
      </c>
      <c r="I30" s="34">
        <v>45666</v>
      </c>
      <c r="J30" s="34" t="s">
        <v>398</v>
      </c>
      <c r="K30" s="34" t="s">
        <v>398</v>
      </c>
      <c r="L30" s="34" t="s">
        <v>398</v>
      </c>
      <c r="M30" s="34" t="s">
        <v>398</v>
      </c>
      <c r="N30" s="34">
        <v>45814</v>
      </c>
      <c r="O30" s="34" t="s">
        <v>398</v>
      </c>
      <c r="P30" s="34" t="s">
        <v>398</v>
      </c>
      <c r="Q30" s="34"/>
      <c r="R30" s="34"/>
      <c r="S30" s="34"/>
      <c r="T30" s="34"/>
      <c r="U30" s="25"/>
    </row>
    <row r="31" spans="1:21" x14ac:dyDescent="0.25">
      <c r="A31" s="28">
        <v>28</v>
      </c>
      <c r="B31" s="24" t="s">
        <v>199</v>
      </c>
      <c r="C31" s="24" t="s">
        <v>389</v>
      </c>
      <c r="D31" s="25" t="s">
        <v>512</v>
      </c>
      <c r="E31" s="35" t="s">
        <v>381</v>
      </c>
      <c r="F31" s="24"/>
      <c r="G31" s="25" t="s">
        <v>269</v>
      </c>
      <c r="H31" s="25" t="s">
        <v>28</v>
      </c>
      <c r="I31" s="34">
        <v>45664</v>
      </c>
      <c r="J31" s="34">
        <v>45702</v>
      </c>
      <c r="K31" s="34">
        <v>45720</v>
      </c>
      <c r="L31" s="34">
        <v>45764</v>
      </c>
      <c r="M31" s="34">
        <v>45796</v>
      </c>
      <c r="N31" s="34" t="s">
        <v>519</v>
      </c>
      <c r="O31" s="34">
        <v>45862</v>
      </c>
      <c r="P31" s="34">
        <v>45896</v>
      </c>
      <c r="Q31" s="34"/>
      <c r="R31" s="34"/>
      <c r="S31" s="34"/>
      <c r="T31" s="34"/>
      <c r="U31" s="25"/>
    </row>
    <row r="32" spans="1:21" x14ac:dyDescent="0.25">
      <c r="A32" s="28">
        <v>29</v>
      </c>
      <c r="B32" s="24" t="s">
        <v>328</v>
      </c>
      <c r="C32" s="24" t="s">
        <v>391</v>
      </c>
      <c r="D32" s="25" t="s">
        <v>512</v>
      </c>
      <c r="E32" s="24" t="s">
        <v>390</v>
      </c>
      <c r="F32" s="24"/>
      <c r="G32" s="36" t="s">
        <v>353</v>
      </c>
      <c r="H32" s="25" t="s">
        <v>28</v>
      </c>
      <c r="I32" s="34">
        <v>45664</v>
      </c>
      <c r="J32" s="34">
        <v>45702</v>
      </c>
      <c r="K32" s="34">
        <v>45720</v>
      </c>
      <c r="L32" s="34">
        <v>45764</v>
      </c>
      <c r="M32" s="34">
        <v>45796</v>
      </c>
      <c r="N32" s="34" t="s">
        <v>519</v>
      </c>
      <c r="O32" s="34">
        <v>45862</v>
      </c>
      <c r="P32" s="34">
        <v>45896</v>
      </c>
      <c r="Q32" s="34"/>
      <c r="R32" s="34"/>
      <c r="S32" s="34"/>
      <c r="T32" s="34"/>
      <c r="U32" s="25"/>
    </row>
    <row r="33" spans="1:21" x14ac:dyDescent="0.25">
      <c r="A33" s="28">
        <v>30</v>
      </c>
      <c r="B33" s="24" t="s">
        <v>329</v>
      </c>
      <c r="C33" s="24" t="s">
        <v>392</v>
      </c>
      <c r="D33" s="25" t="s">
        <v>512</v>
      </c>
      <c r="E33" s="24" t="s">
        <v>390</v>
      </c>
      <c r="F33" s="24"/>
      <c r="G33" s="36" t="s">
        <v>352</v>
      </c>
      <c r="H33" s="25" t="s">
        <v>28</v>
      </c>
      <c r="I33" s="34">
        <v>45664</v>
      </c>
      <c r="J33" s="34">
        <v>45702</v>
      </c>
      <c r="K33" s="34">
        <v>45720</v>
      </c>
      <c r="L33" s="34">
        <v>45764</v>
      </c>
      <c r="M33" s="34">
        <v>45796</v>
      </c>
      <c r="N33" s="34" t="s">
        <v>519</v>
      </c>
      <c r="O33" s="34">
        <v>45862</v>
      </c>
      <c r="P33" s="34">
        <v>45896</v>
      </c>
      <c r="Q33" s="34"/>
      <c r="R33" s="34"/>
      <c r="S33" s="34"/>
      <c r="T33" s="34"/>
      <c r="U33" s="25"/>
    </row>
    <row r="34" spans="1:21" x14ac:dyDescent="0.25">
      <c r="A34" s="28">
        <v>31</v>
      </c>
      <c r="B34" s="24" t="s">
        <v>198</v>
      </c>
      <c r="C34" s="24" t="s">
        <v>393</v>
      </c>
      <c r="D34" s="25" t="s">
        <v>512</v>
      </c>
      <c r="E34" s="24" t="s">
        <v>390</v>
      </c>
      <c r="F34" s="24"/>
      <c r="G34" s="25" t="s">
        <v>273</v>
      </c>
      <c r="H34" s="25" t="s">
        <v>28</v>
      </c>
      <c r="I34" s="34">
        <v>45664</v>
      </c>
      <c r="J34" s="34">
        <v>45702</v>
      </c>
      <c r="K34" s="34">
        <v>45721</v>
      </c>
      <c r="L34" s="34">
        <v>45764</v>
      </c>
      <c r="M34" s="34">
        <v>45796</v>
      </c>
      <c r="N34" s="34" t="s">
        <v>519</v>
      </c>
      <c r="O34" s="34">
        <v>45862</v>
      </c>
      <c r="P34" s="34">
        <v>45896</v>
      </c>
      <c r="Q34" s="34"/>
      <c r="R34" s="34"/>
      <c r="S34" s="34"/>
      <c r="T34" s="34"/>
      <c r="U34" s="25"/>
    </row>
    <row r="35" spans="1:21" x14ac:dyDescent="0.25">
      <c r="A35" s="28">
        <v>32</v>
      </c>
      <c r="B35" s="24" t="s">
        <v>197</v>
      </c>
      <c r="C35" s="24" t="s">
        <v>394</v>
      </c>
      <c r="D35" s="25" t="s">
        <v>512</v>
      </c>
      <c r="E35" s="27" t="s">
        <v>390</v>
      </c>
      <c r="F35" s="24"/>
      <c r="G35" s="25" t="s">
        <v>268</v>
      </c>
      <c r="H35" s="25" t="s">
        <v>28</v>
      </c>
      <c r="I35" s="34">
        <v>45665</v>
      </c>
      <c r="J35" s="34">
        <v>45702</v>
      </c>
      <c r="K35" s="34">
        <v>45721</v>
      </c>
      <c r="L35" s="34">
        <v>45764</v>
      </c>
      <c r="M35" s="34">
        <v>45796</v>
      </c>
      <c r="N35" s="34" t="s">
        <v>519</v>
      </c>
      <c r="O35" s="34">
        <v>45862</v>
      </c>
      <c r="P35" s="34">
        <v>45896</v>
      </c>
      <c r="Q35" s="34"/>
      <c r="R35" s="34"/>
      <c r="S35" s="34"/>
      <c r="T35" s="34"/>
      <c r="U35" s="25"/>
    </row>
    <row r="36" spans="1:21" x14ac:dyDescent="0.25">
      <c r="A36" s="28">
        <v>33</v>
      </c>
      <c r="B36" s="24" t="s">
        <v>200</v>
      </c>
      <c r="C36" s="24" t="s">
        <v>395</v>
      </c>
      <c r="D36" s="25" t="s">
        <v>512</v>
      </c>
      <c r="E36" s="27" t="s">
        <v>390</v>
      </c>
      <c r="F36" s="24"/>
      <c r="G36" s="25" t="s">
        <v>270</v>
      </c>
      <c r="H36" s="25" t="s">
        <v>28</v>
      </c>
      <c r="I36" s="34">
        <v>45665</v>
      </c>
      <c r="J36" s="34">
        <v>45702</v>
      </c>
      <c r="K36" s="34">
        <v>45721</v>
      </c>
      <c r="L36" s="34">
        <v>45764</v>
      </c>
      <c r="M36" s="34">
        <v>45796</v>
      </c>
      <c r="N36" s="34" t="s">
        <v>519</v>
      </c>
      <c r="O36" s="34">
        <v>45862</v>
      </c>
      <c r="P36" s="34">
        <v>45896</v>
      </c>
      <c r="Q36" s="34"/>
      <c r="R36" s="34"/>
      <c r="S36" s="34"/>
      <c r="T36" s="34"/>
      <c r="U36" s="25"/>
    </row>
    <row r="37" spans="1:21" x14ac:dyDescent="0.25">
      <c r="A37" s="28">
        <v>34</v>
      </c>
      <c r="B37" s="24" t="s">
        <v>201</v>
      </c>
      <c r="C37" s="24" t="s">
        <v>396</v>
      </c>
      <c r="D37" s="25" t="s">
        <v>512</v>
      </c>
      <c r="E37" s="27" t="s">
        <v>390</v>
      </c>
      <c r="F37" s="24"/>
      <c r="G37" s="25" t="s">
        <v>272</v>
      </c>
      <c r="H37" s="25" t="s">
        <v>28</v>
      </c>
      <c r="I37" s="34">
        <v>45665</v>
      </c>
      <c r="J37" s="34">
        <v>45702</v>
      </c>
      <c r="K37" s="34">
        <v>45721</v>
      </c>
      <c r="L37" s="34">
        <v>45764</v>
      </c>
      <c r="M37" s="34">
        <v>45796</v>
      </c>
      <c r="N37" s="34" t="s">
        <v>519</v>
      </c>
      <c r="O37" s="34">
        <v>45862</v>
      </c>
      <c r="P37" s="34">
        <v>45896</v>
      </c>
      <c r="Q37" s="34"/>
      <c r="R37" s="34"/>
      <c r="S37" s="34"/>
      <c r="T37" s="34"/>
      <c r="U37" s="25"/>
    </row>
    <row r="38" spans="1:21" x14ac:dyDescent="0.25">
      <c r="A38" s="43">
        <v>35</v>
      </c>
      <c r="B38" s="44" t="s">
        <v>330</v>
      </c>
      <c r="C38" s="44" t="s">
        <v>400</v>
      </c>
      <c r="D38" s="45" t="s">
        <v>383</v>
      </c>
      <c r="E38" s="44" t="s">
        <v>399</v>
      </c>
      <c r="F38" s="44"/>
      <c r="G38" s="45" t="s">
        <v>397</v>
      </c>
      <c r="H38" s="45" t="s">
        <v>13</v>
      </c>
      <c r="I38" s="37" t="s">
        <v>398</v>
      </c>
      <c r="J38" s="37" t="s">
        <v>398</v>
      </c>
      <c r="K38" s="37" t="s">
        <v>398</v>
      </c>
      <c r="L38" s="37" t="s">
        <v>398</v>
      </c>
      <c r="M38" s="37" t="s">
        <v>398</v>
      </c>
      <c r="N38" s="37" t="s">
        <v>398</v>
      </c>
      <c r="O38" s="37" t="s">
        <v>520</v>
      </c>
      <c r="P38" s="37" t="s">
        <v>520</v>
      </c>
      <c r="Q38" s="34"/>
      <c r="R38" s="34"/>
      <c r="S38" s="34"/>
      <c r="T38" s="34"/>
      <c r="U38" s="25"/>
    </row>
    <row r="39" spans="1:21" x14ac:dyDescent="0.25">
      <c r="A39" s="28">
        <v>36</v>
      </c>
      <c r="B39" s="24" t="s">
        <v>331</v>
      </c>
      <c r="C39" s="24" t="s">
        <v>518</v>
      </c>
      <c r="D39" s="25" t="s">
        <v>383</v>
      </c>
      <c r="E39" s="24" t="s">
        <v>250</v>
      </c>
      <c r="F39" s="24"/>
      <c r="G39" s="36" t="s">
        <v>350</v>
      </c>
      <c r="H39" s="25" t="s">
        <v>22</v>
      </c>
      <c r="I39" s="34" t="s">
        <v>398</v>
      </c>
      <c r="J39" s="34" t="s">
        <v>398</v>
      </c>
      <c r="K39" s="34" t="s">
        <v>398</v>
      </c>
      <c r="L39" s="34" t="s">
        <v>398</v>
      </c>
      <c r="M39" s="34" t="s">
        <v>398</v>
      </c>
      <c r="N39" s="34">
        <v>45814</v>
      </c>
      <c r="O39" s="34">
        <v>45863</v>
      </c>
      <c r="P39" s="34" t="s">
        <v>398</v>
      </c>
      <c r="Q39" s="34"/>
      <c r="R39" s="34"/>
      <c r="S39" s="34"/>
      <c r="T39" s="34"/>
      <c r="U39" s="25"/>
    </row>
    <row r="40" spans="1:21" x14ac:dyDescent="0.25">
      <c r="A40" s="28">
        <v>37</v>
      </c>
      <c r="B40" s="24" t="s">
        <v>332</v>
      </c>
      <c r="C40" s="24" t="s">
        <v>431</v>
      </c>
      <c r="D40" s="25" t="s">
        <v>383</v>
      </c>
      <c r="E40" s="24" t="s">
        <v>250</v>
      </c>
      <c r="F40" s="24"/>
      <c r="G40" s="36" t="s">
        <v>349</v>
      </c>
      <c r="H40" s="25" t="s">
        <v>22</v>
      </c>
      <c r="I40" s="34" t="s">
        <v>398</v>
      </c>
      <c r="J40" s="34" t="s">
        <v>398</v>
      </c>
      <c r="K40" s="34" t="s">
        <v>398</v>
      </c>
      <c r="L40" s="34" t="s">
        <v>398</v>
      </c>
      <c r="M40" s="34" t="s">
        <v>398</v>
      </c>
      <c r="N40" s="34">
        <v>45814</v>
      </c>
      <c r="O40" s="34">
        <v>45863</v>
      </c>
      <c r="P40" s="34" t="s">
        <v>398</v>
      </c>
      <c r="Q40" s="34"/>
      <c r="R40" s="34"/>
      <c r="S40" s="34"/>
      <c r="T40" s="34"/>
      <c r="U40" s="25"/>
    </row>
    <row r="41" spans="1:21" x14ac:dyDescent="0.25">
      <c r="A41" s="28">
        <v>38</v>
      </c>
      <c r="B41" s="24" t="s">
        <v>219</v>
      </c>
      <c r="C41" s="24" t="s">
        <v>423</v>
      </c>
      <c r="D41" s="25" t="s">
        <v>383</v>
      </c>
      <c r="E41" s="24" t="s">
        <v>217</v>
      </c>
      <c r="F41" s="24"/>
      <c r="G41" s="25" t="s">
        <v>315</v>
      </c>
      <c r="H41" s="25" t="s">
        <v>106</v>
      </c>
      <c r="I41" s="34">
        <v>45666</v>
      </c>
      <c r="J41" s="34" t="s">
        <v>398</v>
      </c>
      <c r="K41" s="34" t="s">
        <v>398</v>
      </c>
      <c r="L41" s="34" t="s">
        <v>398</v>
      </c>
      <c r="M41" s="34" t="s">
        <v>398</v>
      </c>
      <c r="N41" s="34">
        <v>45814</v>
      </c>
      <c r="O41" s="34" t="s">
        <v>398</v>
      </c>
      <c r="P41" s="34" t="s">
        <v>398</v>
      </c>
      <c r="Q41" s="34"/>
      <c r="R41" s="34"/>
      <c r="S41" s="34"/>
      <c r="T41" s="34"/>
      <c r="U41" s="25"/>
    </row>
    <row r="42" spans="1:21" x14ac:dyDescent="0.25">
      <c r="A42" s="28">
        <v>39</v>
      </c>
      <c r="B42" s="24" t="s">
        <v>333</v>
      </c>
      <c r="C42" s="24" t="s">
        <v>401</v>
      </c>
      <c r="D42" s="25" t="s">
        <v>14</v>
      </c>
      <c r="E42" s="24" t="s">
        <v>246</v>
      </c>
      <c r="F42" s="24">
        <v>2021</v>
      </c>
      <c r="G42" s="25" t="s">
        <v>336</v>
      </c>
      <c r="H42" s="25" t="s">
        <v>28</v>
      </c>
      <c r="I42" s="34">
        <v>45665</v>
      </c>
      <c r="J42" s="34">
        <v>45702</v>
      </c>
      <c r="K42" s="34">
        <v>45721</v>
      </c>
      <c r="L42" s="34">
        <v>45764</v>
      </c>
      <c r="M42" s="34">
        <v>45796</v>
      </c>
      <c r="N42" s="34" t="s">
        <v>519</v>
      </c>
      <c r="O42" s="34">
        <v>45862</v>
      </c>
      <c r="P42" s="34">
        <v>45897</v>
      </c>
      <c r="Q42" s="34"/>
      <c r="R42" s="34"/>
      <c r="S42" s="34"/>
      <c r="T42" s="34"/>
      <c r="U42" s="25"/>
    </row>
    <row r="43" spans="1:21" x14ac:dyDescent="0.25">
      <c r="A43" s="28">
        <v>40</v>
      </c>
      <c r="B43" s="24" t="s">
        <v>334</v>
      </c>
      <c r="C43" s="24" t="s">
        <v>402</v>
      </c>
      <c r="D43" s="25" t="s">
        <v>14</v>
      </c>
      <c r="E43" s="24" t="s">
        <v>246</v>
      </c>
      <c r="F43" s="24">
        <v>2021</v>
      </c>
      <c r="G43" s="25" t="s">
        <v>337</v>
      </c>
      <c r="H43" s="25" t="s">
        <v>28</v>
      </c>
      <c r="I43" s="34">
        <v>45665</v>
      </c>
      <c r="J43" s="34">
        <v>45702</v>
      </c>
      <c r="K43" s="34">
        <v>45721</v>
      </c>
      <c r="L43" s="34">
        <v>45764</v>
      </c>
      <c r="M43" s="34">
        <v>45796</v>
      </c>
      <c r="N43" s="34" t="s">
        <v>519</v>
      </c>
      <c r="O43" s="34">
        <v>45863</v>
      </c>
      <c r="P43" s="34">
        <v>45897</v>
      </c>
      <c r="Q43" s="34"/>
      <c r="R43" s="34"/>
      <c r="S43" s="34"/>
      <c r="T43" s="34"/>
      <c r="U43" s="25"/>
    </row>
    <row r="44" spans="1:21" x14ac:dyDescent="0.25">
      <c r="A44" s="43">
        <v>41</v>
      </c>
      <c r="B44" s="44" t="s">
        <v>255</v>
      </c>
      <c r="C44" s="44" t="s">
        <v>410</v>
      </c>
      <c r="D44" s="45" t="s">
        <v>14</v>
      </c>
      <c r="E44" s="44" t="s">
        <v>254</v>
      </c>
      <c r="F44" s="44">
        <v>2021</v>
      </c>
      <c r="G44" s="45" t="s">
        <v>279</v>
      </c>
      <c r="H44" s="45" t="s">
        <v>13</v>
      </c>
      <c r="I44" s="37" t="s">
        <v>398</v>
      </c>
      <c r="J44" s="37" t="s">
        <v>398</v>
      </c>
      <c r="K44" s="37" t="s">
        <v>398</v>
      </c>
      <c r="L44" s="37" t="s">
        <v>398</v>
      </c>
      <c r="M44" s="37" t="s">
        <v>398</v>
      </c>
      <c r="N44" s="37" t="s">
        <v>522</v>
      </c>
      <c r="O44" s="37" t="s">
        <v>522</v>
      </c>
      <c r="P44" s="37" t="s">
        <v>522</v>
      </c>
      <c r="Q44" s="34"/>
      <c r="R44" s="34"/>
      <c r="S44" s="34"/>
      <c r="T44" s="34"/>
      <c r="U44" s="25"/>
    </row>
    <row r="45" spans="1:21" x14ac:dyDescent="0.25">
      <c r="A45" s="28">
        <v>42</v>
      </c>
      <c r="B45" s="24" t="s">
        <v>335</v>
      </c>
      <c r="C45" s="24" t="s">
        <v>413</v>
      </c>
      <c r="D45" s="25" t="s">
        <v>383</v>
      </c>
      <c r="E45" s="24" t="s">
        <v>414</v>
      </c>
      <c r="F45" s="24"/>
      <c r="G45" s="36" t="s">
        <v>341</v>
      </c>
      <c r="H45" s="25" t="s">
        <v>13</v>
      </c>
      <c r="I45" s="34" t="s">
        <v>398</v>
      </c>
      <c r="J45" s="34" t="s">
        <v>398</v>
      </c>
      <c r="K45" s="34" t="s">
        <v>398</v>
      </c>
      <c r="L45" s="34" t="s">
        <v>398</v>
      </c>
      <c r="M45" s="34" t="s">
        <v>398</v>
      </c>
      <c r="N45" s="34">
        <v>45814</v>
      </c>
      <c r="O45" s="34">
        <v>45862</v>
      </c>
      <c r="P45" s="34" t="s">
        <v>398</v>
      </c>
      <c r="Q45" s="34"/>
      <c r="R45" s="34"/>
      <c r="S45" s="34"/>
      <c r="T45" s="34"/>
      <c r="U45" s="25"/>
    </row>
    <row r="46" spans="1:21" x14ac:dyDescent="0.25">
      <c r="A46" s="28">
        <v>43</v>
      </c>
      <c r="B46" s="24" t="s">
        <v>184</v>
      </c>
      <c r="C46" s="24" t="s">
        <v>417</v>
      </c>
      <c r="D46" s="25" t="s">
        <v>14</v>
      </c>
      <c r="E46" s="24" t="s">
        <v>415</v>
      </c>
      <c r="F46" s="24"/>
      <c r="G46" s="36" t="s">
        <v>340</v>
      </c>
      <c r="H46" s="25" t="s">
        <v>13</v>
      </c>
      <c r="I46" s="34">
        <v>45666</v>
      </c>
      <c r="J46" s="34" t="s">
        <v>398</v>
      </c>
      <c r="K46" s="34" t="s">
        <v>398</v>
      </c>
      <c r="L46" s="34" t="s">
        <v>398</v>
      </c>
      <c r="M46" s="34" t="s">
        <v>398</v>
      </c>
      <c r="N46" s="34" t="s">
        <v>398</v>
      </c>
      <c r="O46" s="34" t="s">
        <v>398</v>
      </c>
      <c r="P46" s="34" t="s">
        <v>398</v>
      </c>
      <c r="Q46" s="34"/>
      <c r="R46" s="34"/>
      <c r="S46" s="34"/>
      <c r="T46" s="34"/>
      <c r="U46" s="25"/>
    </row>
    <row r="47" spans="1:21" x14ac:dyDescent="0.25">
      <c r="A47" s="28">
        <v>44</v>
      </c>
      <c r="B47" s="24" t="s">
        <v>243</v>
      </c>
      <c r="C47" s="24" t="s">
        <v>418</v>
      </c>
      <c r="D47" s="25" t="s">
        <v>14</v>
      </c>
      <c r="E47" s="24" t="s">
        <v>244</v>
      </c>
      <c r="F47" s="24">
        <v>2021</v>
      </c>
      <c r="G47" s="25" t="s">
        <v>285</v>
      </c>
      <c r="H47" s="25" t="s">
        <v>13</v>
      </c>
      <c r="I47" s="34" t="s">
        <v>398</v>
      </c>
      <c r="J47" s="34" t="s">
        <v>398</v>
      </c>
      <c r="K47" s="34" t="s">
        <v>398</v>
      </c>
      <c r="L47" s="34" t="s">
        <v>398</v>
      </c>
      <c r="M47" s="34" t="s">
        <v>398</v>
      </c>
      <c r="N47" s="34">
        <v>45814</v>
      </c>
      <c r="O47" s="34">
        <v>45862</v>
      </c>
      <c r="P47" s="34" t="s">
        <v>398</v>
      </c>
      <c r="Q47" s="34"/>
      <c r="R47" s="34"/>
      <c r="S47" s="34"/>
      <c r="T47" s="34"/>
      <c r="U47" s="25"/>
    </row>
    <row r="48" spans="1:21" x14ac:dyDescent="0.25">
      <c r="A48" s="28">
        <v>45</v>
      </c>
      <c r="B48" s="24" t="s">
        <v>412</v>
      </c>
      <c r="C48" s="24" t="s">
        <v>420</v>
      </c>
      <c r="D48" s="25" t="s">
        <v>14</v>
      </c>
      <c r="E48" s="24" t="s">
        <v>419</v>
      </c>
      <c r="F48" s="24">
        <v>2021</v>
      </c>
      <c r="G48" s="25" t="s">
        <v>411</v>
      </c>
      <c r="H48" s="25" t="s">
        <v>13</v>
      </c>
      <c r="I48" s="34" t="s">
        <v>398</v>
      </c>
      <c r="J48" s="34" t="s">
        <v>398</v>
      </c>
      <c r="K48" s="34" t="s">
        <v>398</v>
      </c>
      <c r="L48" s="34" t="s">
        <v>398</v>
      </c>
      <c r="M48" s="34" t="s">
        <v>398</v>
      </c>
      <c r="N48" s="34">
        <v>45814</v>
      </c>
      <c r="O48" s="34" t="s">
        <v>398</v>
      </c>
      <c r="P48" s="34" t="s">
        <v>398</v>
      </c>
      <c r="Q48" s="34"/>
      <c r="R48" s="34"/>
      <c r="S48" s="34"/>
      <c r="T48" s="34"/>
      <c r="U48" s="25"/>
    </row>
    <row r="49" spans="1:21" x14ac:dyDescent="0.25">
      <c r="A49" s="28">
        <v>46</v>
      </c>
      <c r="B49" s="24" t="s">
        <v>432</v>
      </c>
      <c r="C49" s="24" t="s">
        <v>439</v>
      </c>
      <c r="D49" s="25" t="s">
        <v>433</v>
      </c>
      <c r="E49" s="24" t="s">
        <v>438</v>
      </c>
      <c r="F49" s="24"/>
      <c r="G49" s="25" t="s">
        <v>437</v>
      </c>
      <c r="H49" s="25" t="s">
        <v>28</v>
      </c>
      <c r="I49" s="34">
        <v>45666</v>
      </c>
      <c r="J49" s="34">
        <v>45705</v>
      </c>
      <c r="K49" s="34" t="s">
        <v>516</v>
      </c>
      <c r="L49" s="34">
        <v>45754</v>
      </c>
      <c r="M49" s="34">
        <v>45796</v>
      </c>
      <c r="N49" s="34">
        <v>45828</v>
      </c>
      <c r="O49" s="34">
        <v>45863</v>
      </c>
      <c r="P49" s="34">
        <v>45897</v>
      </c>
      <c r="Q49" s="34"/>
      <c r="R49" s="34"/>
      <c r="S49" s="34"/>
      <c r="T49" s="34"/>
      <c r="U49" s="25"/>
    </row>
    <row r="50" spans="1:21" x14ac:dyDescent="0.25">
      <c r="A50" s="28">
        <v>47</v>
      </c>
      <c r="B50" s="24" t="s">
        <v>434</v>
      </c>
      <c r="C50" s="24" t="s">
        <v>441</v>
      </c>
      <c r="D50" s="25" t="s">
        <v>433</v>
      </c>
      <c r="E50" s="27" t="s">
        <v>442</v>
      </c>
      <c r="F50" s="24"/>
      <c r="G50" s="25" t="s">
        <v>440</v>
      </c>
      <c r="H50" s="25" t="s">
        <v>13</v>
      </c>
      <c r="I50" s="34">
        <v>45666</v>
      </c>
      <c r="J50" s="34">
        <v>45705</v>
      </c>
      <c r="K50" s="34" t="s">
        <v>398</v>
      </c>
      <c r="L50" s="34">
        <v>45754</v>
      </c>
      <c r="M50" s="34" t="s">
        <v>398</v>
      </c>
      <c r="N50" s="34" t="s">
        <v>510</v>
      </c>
      <c r="O50" s="34">
        <v>45863</v>
      </c>
      <c r="P50" s="34" t="s">
        <v>398</v>
      </c>
      <c r="Q50" s="34"/>
      <c r="R50" s="34"/>
      <c r="S50" s="34"/>
      <c r="T50" s="34"/>
      <c r="U50" s="1" t="s">
        <v>523</v>
      </c>
    </row>
    <row r="51" spans="1:21" x14ac:dyDescent="0.25">
      <c r="A51" s="28">
        <v>48</v>
      </c>
      <c r="B51" s="24" t="s">
        <v>435</v>
      </c>
      <c r="C51" s="24"/>
      <c r="D51" s="25" t="s">
        <v>433</v>
      </c>
      <c r="E51" s="27" t="s">
        <v>445</v>
      </c>
      <c r="F51" s="24"/>
      <c r="G51" s="25" t="s">
        <v>443</v>
      </c>
      <c r="H51" s="25" t="s">
        <v>28</v>
      </c>
      <c r="I51" s="34">
        <v>45666</v>
      </c>
      <c r="J51" s="34">
        <v>45705</v>
      </c>
      <c r="K51" s="34">
        <v>45721</v>
      </c>
      <c r="L51" s="34">
        <v>45754</v>
      </c>
      <c r="M51" s="34">
        <v>45796</v>
      </c>
      <c r="N51" s="34" t="s">
        <v>519</v>
      </c>
      <c r="O51" s="34">
        <v>45863</v>
      </c>
      <c r="P51" s="34">
        <v>45897</v>
      </c>
      <c r="Q51" s="34"/>
      <c r="R51" s="34"/>
      <c r="S51" s="34"/>
      <c r="T51" s="34"/>
      <c r="U51" s="25"/>
    </row>
    <row r="52" spans="1:21" x14ac:dyDescent="0.25">
      <c r="A52" s="28">
        <v>49</v>
      </c>
      <c r="B52" s="24" t="s">
        <v>436</v>
      </c>
      <c r="C52" s="24"/>
      <c r="D52" s="25" t="s">
        <v>433</v>
      </c>
      <c r="E52" s="35" t="s">
        <v>509</v>
      </c>
      <c r="F52" s="24"/>
      <c r="G52" s="25" t="s">
        <v>444</v>
      </c>
      <c r="H52" s="25" t="s">
        <v>28</v>
      </c>
      <c r="I52" s="34">
        <v>45666</v>
      </c>
      <c r="J52" s="34" t="s">
        <v>516</v>
      </c>
      <c r="K52" s="34">
        <v>45721</v>
      </c>
      <c r="L52" s="34">
        <v>45754</v>
      </c>
      <c r="M52" s="34">
        <v>45798</v>
      </c>
      <c r="N52" s="34" t="s">
        <v>519</v>
      </c>
      <c r="O52" s="34">
        <v>45863</v>
      </c>
      <c r="P52" s="34" t="s">
        <v>398</v>
      </c>
      <c r="Q52" s="34"/>
      <c r="R52" s="34"/>
      <c r="S52" s="34"/>
      <c r="T52" s="34"/>
      <c r="U52" s="25"/>
    </row>
    <row r="53" spans="1:21" x14ac:dyDescent="0.25">
      <c r="A53" s="43">
        <v>50</v>
      </c>
      <c r="B53" s="44" t="s">
        <v>499</v>
      </c>
      <c r="C53" s="44" t="s">
        <v>500</v>
      </c>
      <c r="D53" s="45" t="s">
        <v>433</v>
      </c>
      <c r="E53" s="46" t="s">
        <v>501</v>
      </c>
      <c r="F53" s="44"/>
      <c r="G53" s="45"/>
      <c r="H53" s="45" t="s">
        <v>508</v>
      </c>
      <c r="I53" s="76"/>
      <c r="J53" s="77"/>
      <c r="K53" s="37"/>
      <c r="L53" s="37"/>
      <c r="M53" s="37"/>
      <c r="N53" s="37" t="s">
        <v>550</v>
      </c>
      <c r="O53" s="37"/>
      <c r="P53" s="37"/>
      <c r="Q53" s="34"/>
      <c r="R53" s="34"/>
      <c r="S53" s="34"/>
      <c r="T53" s="34"/>
      <c r="U53" s="25"/>
    </row>
    <row r="54" spans="1:21" x14ac:dyDescent="0.25">
      <c r="A54" s="43">
        <v>51</v>
      </c>
      <c r="B54" s="44" t="s">
        <v>505</v>
      </c>
      <c r="C54" s="44"/>
      <c r="D54" s="45"/>
      <c r="E54" s="44"/>
      <c r="F54" s="44"/>
      <c r="G54" s="45"/>
      <c r="H54" s="45" t="s">
        <v>508</v>
      </c>
      <c r="I54" s="55"/>
      <c r="J54" s="56"/>
      <c r="K54" s="37"/>
      <c r="L54" s="37"/>
      <c r="M54" s="37"/>
      <c r="N54" s="37"/>
      <c r="O54" s="37"/>
      <c r="P54" s="37"/>
      <c r="Q54" s="34"/>
      <c r="R54" s="34"/>
      <c r="S54" s="34"/>
      <c r="T54" s="34"/>
      <c r="U54" s="25"/>
    </row>
    <row r="55" spans="1:21" x14ac:dyDescent="0.25">
      <c r="A55" s="28">
        <v>52</v>
      </c>
      <c r="B55" s="24" t="s">
        <v>491</v>
      </c>
      <c r="C55" s="24" t="s">
        <v>513</v>
      </c>
      <c r="D55" s="25" t="s">
        <v>514</v>
      </c>
      <c r="E55" s="24" t="s">
        <v>515</v>
      </c>
      <c r="F55" s="24"/>
      <c r="G55" s="25" t="s">
        <v>492</v>
      </c>
      <c r="H55" s="25" t="s">
        <v>106</v>
      </c>
      <c r="I55" s="34" t="s">
        <v>398</v>
      </c>
      <c r="J55" s="34">
        <v>45698</v>
      </c>
      <c r="K55" s="34" t="s">
        <v>398</v>
      </c>
      <c r="L55" s="34" t="s">
        <v>398</v>
      </c>
      <c r="M55" s="34" t="s">
        <v>398</v>
      </c>
      <c r="N55" s="34" t="s">
        <v>398</v>
      </c>
      <c r="O55" s="25" t="s">
        <v>398</v>
      </c>
      <c r="P55" s="34" t="s">
        <v>510</v>
      </c>
      <c r="Q55" s="34"/>
      <c r="R55" s="34"/>
      <c r="S55" s="34"/>
      <c r="T55" s="34"/>
      <c r="U55" s="25"/>
    </row>
    <row r="56" spans="1:21" x14ac:dyDescent="0.25">
      <c r="A56" s="28">
        <v>53</v>
      </c>
      <c r="B56" s="24" t="s">
        <v>499</v>
      </c>
      <c r="C56" s="24" t="s">
        <v>506</v>
      </c>
      <c r="D56" s="25" t="s">
        <v>433</v>
      </c>
      <c r="E56" s="24" t="s">
        <v>501</v>
      </c>
      <c r="F56" s="24"/>
      <c r="G56" s="25" t="s">
        <v>507</v>
      </c>
      <c r="H56" s="25" t="s">
        <v>508</v>
      </c>
      <c r="I56" s="74"/>
      <c r="J56" s="75"/>
      <c r="K56" s="34">
        <v>45722</v>
      </c>
      <c r="L56" s="34" t="s">
        <v>398</v>
      </c>
      <c r="M56" s="34" t="s">
        <v>398</v>
      </c>
      <c r="N56" s="34" t="s">
        <v>398</v>
      </c>
      <c r="O56" s="34" t="s">
        <v>398</v>
      </c>
      <c r="P56" s="34">
        <v>45877</v>
      </c>
      <c r="Q56" s="34"/>
      <c r="R56" s="34"/>
      <c r="S56" s="34"/>
      <c r="T56" s="34"/>
      <c r="U56" s="25"/>
    </row>
    <row r="57" spans="1:21" x14ac:dyDescent="0.25">
      <c r="A57" s="28">
        <v>54</v>
      </c>
      <c r="B57" s="24" t="s">
        <v>176</v>
      </c>
      <c r="C57" s="24" t="s">
        <v>421</v>
      </c>
      <c r="D57" s="25" t="s">
        <v>14</v>
      </c>
      <c r="E57" s="24" t="s">
        <v>177</v>
      </c>
      <c r="F57" s="24"/>
      <c r="G57" s="25" t="s">
        <v>259</v>
      </c>
      <c r="H57" s="25" t="s">
        <v>13</v>
      </c>
      <c r="I57" s="34" t="s">
        <v>398</v>
      </c>
      <c r="J57" s="34" t="s">
        <v>398</v>
      </c>
      <c r="K57" s="34" t="s">
        <v>398</v>
      </c>
      <c r="L57" s="34">
        <v>45762</v>
      </c>
      <c r="M57" s="34" t="s">
        <v>398</v>
      </c>
      <c r="N57" s="25" t="s">
        <v>519</v>
      </c>
      <c r="O57" s="34">
        <v>45862</v>
      </c>
      <c r="P57" s="34" t="s">
        <v>398</v>
      </c>
      <c r="Q57" s="25"/>
      <c r="R57" s="25"/>
      <c r="S57" s="25"/>
      <c r="T57" s="25"/>
      <c r="U57" s="25"/>
    </row>
  </sheetData>
  <autoFilter ref="A3:T57" xr:uid="{00CDFA89-BD0E-470F-80BA-0ADF74AD8FB4}"/>
  <mergeCells count="13">
    <mergeCell ref="I56:J56"/>
    <mergeCell ref="I53:J53"/>
    <mergeCell ref="I10:J10"/>
    <mergeCell ref="A1:B1"/>
    <mergeCell ref="I2:T2"/>
    <mergeCell ref="A2:A3"/>
    <mergeCell ref="B2:B3"/>
    <mergeCell ref="G2:G3"/>
    <mergeCell ref="H2:H3"/>
    <mergeCell ref="C2:C3"/>
    <mergeCell ref="D2:D3"/>
    <mergeCell ref="E2:E3"/>
    <mergeCell ref="F2:F3"/>
  </mergeCells>
  <phoneticPr fontId="11" type="noConversion"/>
  <hyperlinks>
    <hyperlink ref="G46" r:id="rId1" xr:uid="{5A163FAA-A0F2-4E1D-B215-7C7987755FD1}"/>
    <hyperlink ref="G45" r:id="rId2" xr:uid="{8878EA32-8016-4408-8B0F-E4B3E10773E9}"/>
    <hyperlink ref="G21" r:id="rId3" xr:uid="{C805C063-A9FE-47F5-AE29-F30D64819C8C}"/>
    <hyperlink ref="G16" r:id="rId4" xr:uid="{ED2EB27D-8744-4676-9902-A82FC01E9BA0}"/>
    <hyperlink ref="G29" r:id="rId5" xr:uid="{E67B9244-5AD3-4482-9200-3B574D35F925}"/>
    <hyperlink ref="G14" r:id="rId6" xr:uid="{B6472D68-1D78-4CD5-BC86-2CE3B7D20F2D}"/>
    <hyperlink ref="G12" r:id="rId7" xr:uid="{892AFE3C-72FF-41EF-83B7-CC87C1027604}"/>
    <hyperlink ref="G13" r:id="rId8" xr:uid="{B9B7084B-7A42-4034-8514-114EFF87FAAA}"/>
    <hyperlink ref="G40" r:id="rId9" xr:uid="{E6B455F2-D50D-4FE6-B978-F31A7FEF9055}"/>
    <hyperlink ref="G39" r:id="rId10" xr:uid="{60737E03-65F8-42F8-B82A-B17136F588B8}"/>
    <hyperlink ref="G9" r:id="rId11" xr:uid="{AA1F9E0A-A634-4996-9B71-E2EFA5835923}"/>
    <hyperlink ref="G33" r:id="rId12" xr:uid="{B0D897EB-4B1F-413B-B583-F75BBF1F01CD}"/>
    <hyperlink ref="G32" r:id="rId13" xr:uid="{68D66CDB-A081-454A-A1C5-F84B2C70328B}"/>
    <hyperlink ref="C28" r:id="rId14" display="https://www.statistics.gr/en/statistics?p_p_id=documents_WAR_publicationsportlet_INSTANCE_Mr0GiQJSgPHd&amp;p_p_lifecycle=2&amp;p_p_state=normal&amp;p_p_mode=view&amp;p_p_cacheability=cacheLevelPage&amp;p_p_col_id=column-2&amp;p_p_col_count=4&amp;p_p_col_pos=3&amp;_documents_WAR_publicationsportlet_INSTANCE_Mr0GiQJSgPHd_javax.faces.resource=document&amp;_documents_WAR_publicationsportlet_INSTANCE_Mr0GiQJSgPHd_ln=downloadResources&amp;_documents_WAR_publicationsportlet_INSTANCE_Mr0GiQJSgPHd_documentID=114794&amp;_documents_WAR_publicationsportlet_INSTANCE_Mr0GiQJSgPHd_locale=en" xr:uid="{4FF95516-0EC1-452B-BA5B-23A275F4A12F}"/>
    <hyperlink ref="E50" r:id="rId15" xr:uid="{FAEBE1D7-1872-443E-BF5B-4D1782333B45}"/>
    <hyperlink ref="E51" r:id="rId16" xr:uid="{8C5CA59D-C8F0-4E32-87AE-05226B43509F}"/>
    <hyperlink ref="E7" r:id="rId17" xr:uid="{2B729A48-BD0A-4AD8-9271-A3A745C28A7D}"/>
    <hyperlink ref="E8" r:id="rId18" xr:uid="{C7383CAD-BCE7-46D8-8B68-397C395A442E}"/>
    <hyperlink ref="E9" r:id="rId19" xr:uid="{16DEDB32-223E-49A1-9C02-2F8D6983B7BE}"/>
    <hyperlink ref="E53" r:id="rId20" xr:uid="{C64DD9B3-0F0B-4FF5-849B-CB7B1859F7F1}"/>
    <hyperlink ref="E11" r:id="rId21" xr:uid="{725E0315-26E3-43F3-8A3A-C5AECA0E54D7}"/>
    <hyperlink ref="E5" r:id="rId22" xr:uid="{01A8DCE0-3909-45C7-A250-A1BAA5387107}"/>
    <hyperlink ref="E52" r:id="rId23" xr:uid="{41275D3C-E312-49E1-9D79-07949DEB1E86}"/>
    <hyperlink ref="E21" r:id="rId24" xr:uid="{3C32F3D8-DF61-434B-B3F1-84F0F7486CD6}"/>
    <hyperlink ref="E22" r:id="rId25" xr:uid="{585E5447-5AE3-4816-9445-D22C0ED2FDD1}"/>
    <hyperlink ref="E26" r:id="rId26" xr:uid="{3C914D32-4520-47F4-8607-B58BB2EDAD07}"/>
    <hyperlink ref="E27" r:id="rId27" xr:uid="{82D53321-53AA-43F8-A2EC-9D16D68C75C7}"/>
    <hyperlink ref="E17" r:id="rId28" xr:uid="{2F1A6081-9D43-4D7F-BD77-872BFAA6CD4A}"/>
    <hyperlink ref="E6" r:id="rId29" xr:uid="{6404BA34-A705-4122-B667-A80D9FFCC0D1}"/>
    <hyperlink ref="E4" r:id="rId30" xr:uid="{5EC9FBEA-E86D-402F-893F-AB29FA8444A7}"/>
    <hyperlink ref="E10" r:id="rId31" xr:uid="{C3F09C5E-15D3-4168-BADD-F78B68AB820E}"/>
    <hyperlink ref="E14" r:id="rId32" xr:uid="{46A8C045-0D4F-4635-B11D-1F451E5AC967}"/>
    <hyperlink ref="E16" r:id="rId33" xr:uid="{8D3B4C9A-4E88-4CEC-A5D0-E4A366E11361}"/>
    <hyperlink ref="E19" r:id="rId34" xr:uid="{5287BF8F-02BC-4D92-A4B3-8B440D2519F1}"/>
    <hyperlink ref="E20" r:id="rId35" xr:uid="{10D26913-3EE7-4623-AADC-5BC5B79A6C3A}"/>
    <hyperlink ref="E23" r:id="rId36" xr:uid="{06D61A46-D8C8-4F2B-B258-18DC8A68CB59}"/>
    <hyperlink ref="E24" r:id="rId37" xr:uid="{AFB0E7CB-EB74-4557-ABF3-0543A9E83699}"/>
    <hyperlink ref="E25" r:id="rId38" xr:uid="{076C6D18-1BEE-4376-B9FB-CA370078265D}"/>
    <hyperlink ref="E28" r:id="rId39" xr:uid="{82947BED-5B62-466D-B097-0CBEC70C888B}"/>
    <hyperlink ref="E29" r:id="rId40" xr:uid="{C2B79F03-07BE-4561-A91E-7D830C99E84D}"/>
    <hyperlink ref="E30" r:id="rId41" xr:uid="{9CF07F2C-B3BC-402E-A718-36036AE20B78}"/>
    <hyperlink ref="E31" r:id="rId42" xr:uid="{12972CAB-CF01-4938-B449-8E1715B64FDD}"/>
    <hyperlink ref="E12" r:id="rId43" xr:uid="{C5705965-9EEA-4111-80B3-13AF6D7E7F49}"/>
    <hyperlink ref="E13" r:id="rId44" xr:uid="{168BE9AF-D235-4201-A967-3767DC3D3DE2}"/>
    <hyperlink ref="E15" r:id="rId45" xr:uid="{054D05B9-8C4D-4E29-9D35-BFFBFC8E533E}"/>
  </hyperlinks>
  <pageMargins left="0.7" right="0.7" top="0.75" bottom="0.75" header="0.3" footer="0.3"/>
  <pageSetup orientation="portrait" r:id="rId4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B92EF9-8FC2-450F-931C-BEE0F6B549D7}">
  <dimension ref="A1:AF21"/>
  <sheetViews>
    <sheetView topLeftCell="A13" zoomScale="70" zoomScaleNormal="70" workbookViewId="0">
      <selection activeCell="E21" sqref="E21"/>
    </sheetView>
  </sheetViews>
  <sheetFormatPr defaultColWidth="8.85546875" defaultRowHeight="15" x14ac:dyDescent="0.25"/>
  <cols>
    <col min="1" max="1" width="3.5703125" style="1" bestFit="1" customWidth="1"/>
    <col min="2" max="2" width="43.42578125" style="1" bestFit="1" customWidth="1"/>
    <col min="3" max="3" width="13.28515625" style="11" customWidth="1"/>
    <col min="4" max="4" width="12.85546875" style="2" customWidth="1"/>
    <col min="5" max="5" width="30.7109375" style="1" customWidth="1"/>
    <col min="6" max="6" width="25.5703125" style="2" customWidth="1"/>
    <col min="7" max="7" width="13.42578125" style="2" bestFit="1" customWidth="1"/>
    <col min="8" max="8" width="12.140625" style="2" customWidth="1"/>
    <col min="9" max="9" width="15.7109375" style="2" bestFit="1" customWidth="1"/>
    <col min="10" max="10" width="9.28515625" style="2" bestFit="1" customWidth="1"/>
    <col min="11" max="11" width="6.42578125" style="2" bestFit="1" customWidth="1"/>
    <col min="12" max="12" width="5.140625" style="2" bestFit="1" customWidth="1"/>
    <col min="13" max="13" width="4.5703125" style="2" bestFit="1" customWidth="1"/>
    <col min="14" max="14" width="5.140625" style="2" bestFit="1" customWidth="1"/>
    <col min="15" max="15" width="4.85546875" style="2" bestFit="1" customWidth="1"/>
    <col min="16" max="16" width="7.140625" style="2" bestFit="1" customWidth="1"/>
    <col min="17" max="17" width="12.7109375" style="2" bestFit="1" customWidth="1"/>
    <col min="18" max="18" width="8.28515625" style="2" bestFit="1" customWidth="1"/>
    <col min="19" max="19" width="10.42578125" style="2" bestFit="1" customWidth="1"/>
    <col min="20" max="20" width="10.85546875" style="2" bestFit="1" customWidth="1"/>
    <col min="21" max="16384" width="8.85546875" style="1"/>
  </cols>
  <sheetData>
    <row r="1" spans="1:32" x14ac:dyDescent="0.25">
      <c r="A1" s="67" t="s">
        <v>368</v>
      </c>
      <c r="B1" s="67"/>
      <c r="C1" s="30"/>
      <c r="D1" s="31"/>
      <c r="E1" s="68"/>
      <c r="F1" s="31"/>
      <c r="G1" s="31"/>
      <c r="H1" s="31"/>
      <c r="I1" s="31"/>
      <c r="J1" s="31"/>
      <c r="K1" s="31"/>
      <c r="L1" s="31"/>
      <c r="M1" s="31"/>
      <c r="N1" s="31"/>
      <c r="O1" s="31"/>
      <c r="P1" s="31"/>
      <c r="Q1" s="31"/>
      <c r="R1" s="31"/>
      <c r="S1" s="31"/>
      <c r="T1" s="31"/>
      <c r="U1" s="31"/>
      <c r="V1" s="31"/>
      <c r="W1" s="31"/>
      <c r="X1" s="31"/>
      <c r="Y1" s="31"/>
      <c r="Z1" s="31"/>
      <c r="AA1" s="31"/>
      <c r="AB1" s="31"/>
      <c r="AC1" s="31"/>
      <c r="AD1" s="31"/>
      <c r="AE1" s="31"/>
      <c r="AF1" s="31"/>
    </row>
    <row r="2" spans="1:32" x14ac:dyDescent="0.25">
      <c r="A2" s="83" t="s">
        <v>189</v>
      </c>
      <c r="B2" s="103" t="s">
        <v>320</v>
      </c>
      <c r="C2" s="83" t="s">
        <v>378</v>
      </c>
      <c r="D2" s="83" t="s">
        <v>4</v>
      </c>
      <c r="E2" s="105" t="s">
        <v>374</v>
      </c>
      <c r="F2" s="83" t="s">
        <v>446</v>
      </c>
      <c r="G2" s="83" t="s">
        <v>258</v>
      </c>
      <c r="H2" s="83" t="s">
        <v>338</v>
      </c>
      <c r="I2" s="100" t="s">
        <v>354</v>
      </c>
      <c r="J2" s="101"/>
      <c r="K2" s="101"/>
      <c r="L2" s="101"/>
      <c r="M2" s="101"/>
      <c r="N2" s="101"/>
      <c r="O2" s="101"/>
      <c r="P2" s="101"/>
      <c r="Q2" s="101"/>
      <c r="R2" s="101"/>
      <c r="S2" s="101"/>
      <c r="T2" s="102"/>
      <c r="U2" s="94" t="s">
        <v>178</v>
      </c>
      <c r="V2" s="95"/>
      <c r="W2" s="95"/>
      <c r="X2" s="95"/>
      <c r="Y2" s="95"/>
      <c r="Z2" s="95"/>
      <c r="AA2" s="95"/>
      <c r="AB2" s="95"/>
      <c r="AC2" s="95"/>
      <c r="AD2" s="95"/>
      <c r="AE2" s="95"/>
      <c r="AF2" s="96"/>
    </row>
    <row r="3" spans="1:32" x14ac:dyDescent="0.25">
      <c r="A3" s="84"/>
      <c r="B3" s="104"/>
      <c r="C3" s="84"/>
      <c r="D3" s="84"/>
      <c r="E3" s="106"/>
      <c r="F3" s="84"/>
      <c r="G3" s="84"/>
      <c r="H3" s="84"/>
      <c r="I3" s="29" t="s">
        <v>359</v>
      </c>
      <c r="J3" s="29" t="s">
        <v>360</v>
      </c>
      <c r="K3" s="29" t="s">
        <v>361</v>
      </c>
      <c r="L3" s="29" t="s">
        <v>355</v>
      </c>
      <c r="M3" s="32" t="s">
        <v>356</v>
      </c>
      <c r="N3" s="32" t="s">
        <v>357</v>
      </c>
      <c r="O3" s="32" t="s">
        <v>362</v>
      </c>
      <c r="P3" s="32" t="s">
        <v>358</v>
      </c>
      <c r="Q3" s="32" t="s">
        <v>363</v>
      </c>
      <c r="R3" s="32" t="s">
        <v>364</v>
      </c>
      <c r="S3" s="32" t="s">
        <v>365</v>
      </c>
      <c r="T3" s="32" t="s">
        <v>366</v>
      </c>
      <c r="U3" s="97"/>
      <c r="V3" s="98"/>
      <c r="W3" s="98"/>
      <c r="X3" s="98"/>
      <c r="Y3" s="98"/>
      <c r="Z3" s="98"/>
      <c r="AA3" s="98"/>
      <c r="AB3" s="98"/>
      <c r="AC3" s="98"/>
      <c r="AD3" s="98"/>
      <c r="AE3" s="98"/>
      <c r="AF3" s="99"/>
    </row>
    <row r="4" spans="1:32" x14ac:dyDescent="0.25">
      <c r="A4" s="25">
        <v>1</v>
      </c>
      <c r="B4" s="28" t="s">
        <v>462</v>
      </c>
      <c r="C4" s="63"/>
      <c r="D4" s="25" t="s">
        <v>450</v>
      </c>
      <c r="E4" s="24" t="s">
        <v>463</v>
      </c>
      <c r="F4" s="26"/>
      <c r="G4" s="25" t="s">
        <v>464</v>
      </c>
      <c r="H4" s="25" t="s">
        <v>13</v>
      </c>
      <c r="I4" s="34">
        <v>45678</v>
      </c>
      <c r="J4" s="34">
        <v>45706</v>
      </c>
      <c r="K4" s="34"/>
      <c r="L4" s="34"/>
      <c r="M4" s="34"/>
      <c r="N4" s="34"/>
      <c r="O4" s="34"/>
      <c r="P4" s="34"/>
      <c r="Q4" s="34">
        <v>45909</v>
      </c>
      <c r="R4" s="34"/>
      <c r="S4" s="34"/>
      <c r="T4" s="34"/>
      <c r="U4" s="85"/>
      <c r="V4" s="86"/>
      <c r="W4" s="86"/>
      <c r="X4" s="86"/>
      <c r="Y4" s="86"/>
      <c r="Z4" s="86"/>
      <c r="AA4" s="86"/>
      <c r="AB4" s="86"/>
      <c r="AC4" s="86"/>
      <c r="AD4" s="86"/>
      <c r="AE4" s="86"/>
      <c r="AF4" s="87"/>
    </row>
    <row r="5" spans="1:32" x14ac:dyDescent="0.25">
      <c r="A5" s="25">
        <v>2</v>
      </c>
      <c r="B5" s="28" t="s">
        <v>371</v>
      </c>
      <c r="C5" s="28"/>
      <c r="D5" s="25" t="s">
        <v>468</v>
      </c>
      <c r="E5" s="24" t="s">
        <v>475</v>
      </c>
      <c r="F5" s="25"/>
      <c r="G5" s="25" t="s">
        <v>453</v>
      </c>
      <c r="H5" s="25" t="s">
        <v>28</v>
      </c>
      <c r="I5" s="34">
        <v>45679</v>
      </c>
      <c r="J5" s="34">
        <v>45706</v>
      </c>
      <c r="K5" s="34"/>
      <c r="L5" s="34"/>
      <c r="M5" s="34"/>
      <c r="N5" s="34"/>
      <c r="O5" s="34"/>
      <c r="P5" s="34"/>
      <c r="Q5" s="34">
        <v>45909</v>
      </c>
      <c r="R5" s="34"/>
      <c r="S5" s="34"/>
      <c r="T5" s="34"/>
      <c r="U5" s="85"/>
      <c r="V5" s="86"/>
      <c r="W5" s="86"/>
      <c r="X5" s="86"/>
      <c r="Y5" s="86"/>
      <c r="Z5" s="86"/>
      <c r="AA5" s="86"/>
      <c r="AB5" s="86"/>
      <c r="AC5" s="86"/>
      <c r="AD5" s="86"/>
      <c r="AE5" s="86"/>
      <c r="AF5" s="87"/>
    </row>
    <row r="6" spans="1:32" x14ac:dyDescent="0.25">
      <c r="A6" s="25">
        <v>3</v>
      </c>
      <c r="B6" s="28" t="s">
        <v>372</v>
      </c>
      <c r="C6" s="28"/>
      <c r="D6" s="25" t="s">
        <v>468</v>
      </c>
      <c r="E6" s="24" t="s">
        <v>474</v>
      </c>
      <c r="F6" s="25"/>
      <c r="G6" s="25" t="s">
        <v>454</v>
      </c>
      <c r="H6" s="25" t="s">
        <v>28</v>
      </c>
      <c r="I6" s="34">
        <v>45680</v>
      </c>
      <c r="J6" s="34">
        <v>45706</v>
      </c>
      <c r="K6" s="34"/>
      <c r="L6" s="34"/>
      <c r="M6" s="34"/>
      <c r="N6" s="34"/>
      <c r="O6" s="34"/>
      <c r="P6" s="34"/>
      <c r="Q6" s="34">
        <v>45909</v>
      </c>
      <c r="R6" s="34"/>
      <c r="S6" s="34"/>
      <c r="T6" s="34"/>
      <c r="U6" s="85"/>
      <c r="V6" s="86"/>
      <c r="W6" s="86"/>
      <c r="X6" s="86"/>
      <c r="Y6" s="86"/>
      <c r="Z6" s="86"/>
      <c r="AA6" s="86"/>
      <c r="AB6" s="86"/>
      <c r="AC6" s="86"/>
      <c r="AD6" s="86"/>
      <c r="AE6" s="86"/>
      <c r="AF6" s="87"/>
    </row>
    <row r="7" spans="1:32" x14ac:dyDescent="0.25">
      <c r="A7" s="25">
        <v>4</v>
      </c>
      <c r="B7" s="28" t="s">
        <v>373</v>
      </c>
      <c r="C7" s="28"/>
      <c r="D7" s="25" t="s">
        <v>468</v>
      </c>
      <c r="E7" s="24" t="s">
        <v>476</v>
      </c>
      <c r="F7" s="26">
        <v>2021</v>
      </c>
      <c r="G7" s="25" t="s">
        <v>456</v>
      </c>
      <c r="H7" s="25" t="s">
        <v>28</v>
      </c>
      <c r="I7" s="34">
        <v>45679</v>
      </c>
      <c r="J7" s="34">
        <v>45706</v>
      </c>
      <c r="K7" s="34"/>
      <c r="L7" s="34"/>
      <c r="M7" s="34"/>
      <c r="N7" s="34"/>
      <c r="O7" s="34"/>
      <c r="P7" s="34"/>
      <c r="Q7" s="34">
        <v>45909</v>
      </c>
      <c r="R7" s="34"/>
      <c r="S7" s="34"/>
      <c r="T7" s="34"/>
      <c r="U7" s="85"/>
      <c r="V7" s="86"/>
      <c r="W7" s="86"/>
      <c r="X7" s="86"/>
      <c r="Y7" s="86"/>
      <c r="Z7" s="86"/>
      <c r="AA7" s="86"/>
      <c r="AB7" s="86"/>
      <c r="AC7" s="86"/>
      <c r="AD7" s="86"/>
      <c r="AE7" s="86"/>
      <c r="AF7" s="87"/>
    </row>
    <row r="8" spans="1:32" x14ac:dyDescent="0.25">
      <c r="A8" s="25">
        <v>5</v>
      </c>
      <c r="B8" s="28" t="s">
        <v>190</v>
      </c>
      <c r="C8" s="63"/>
      <c r="D8" s="25" t="s">
        <v>468</v>
      </c>
      <c r="E8" s="27" t="s">
        <v>484</v>
      </c>
      <c r="F8" s="26">
        <v>2015</v>
      </c>
      <c r="G8" s="25" t="s">
        <v>483</v>
      </c>
      <c r="H8" s="25" t="s">
        <v>28</v>
      </c>
      <c r="I8" s="34">
        <v>45679</v>
      </c>
      <c r="J8" s="34">
        <v>45707</v>
      </c>
      <c r="K8" s="34"/>
      <c r="L8" s="34"/>
      <c r="M8" s="34"/>
      <c r="N8" s="34"/>
      <c r="O8" s="34"/>
      <c r="P8" s="34"/>
      <c r="Q8" s="34">
        <v>45909</v>
      </c>
      <c r="R8" s="34"/>
      <c r="S8" s="34"/>
      <c r="T8" s="34"/>
      <c r="U8" s="85"/>
      <c r="V8" s="86"/>
      <c r="W8" s="86"/>
      <c r="X8" s="86"/>
      <c r="Y8" s="86"/>
      <c r="Z8" s="86"/>
      <c r="AA8" s="86"/>
      <c r="AB8" s="86"/>
      <c r="AC8" s="86"/>
      <c r="AD8" s="86"/>
      <c r="AE8" s="86"/>
      <c r="AF8" s="87"/>
    </row>
    <row r="9" spans="1:32" x14ac:dyDescent="0.25">
      <c r="A9" s="25">
        <v>6</v>
      </c>
      <c r="B9" s="28" t="s">
        <v>479</v>
      </c>
      <c r="C9" s="28"/>
      <c r="D9" s="25" t="s">
        <v>433</v>
      </c>
      <c r="E9" s="35" t="s">
        <v>489</v>
      </c>
      <c r="F9" s="25"/>
      <c r="G9" s="25" t="s">
        <v>488</v>
      </c>
      <c r="H9" s="25" t="s">
        <v>22</v>
      </c>
      <c r="I9" s="34">
        <v>45679</v>
      </c>
      <c r="J9" s="34">
        <v>45707</v>
      </c>
      <c r="K9" s="34"/>
      <c r="L9" s="34"/>
      <c r="M9" s="34"/>
      <c r="N9" s="34"/>
      <c r="O9" s="34"/>
      <c r="P9" s="34"/>
      <c r="Q9" s="34">
        <v>45909</v>
      </c>
      <c r="R9" s="34"/>
      <c r="S9" s="34"/>
      <c r="T9" s="34"/>
      <c r="U9" s="85"/>
      <c r="V9" s="86"/>
      <c r="W9" s="86"/>
      <c r="X9" s="86"/>
      <c r="Y9" s="86"/>
      <c r="Z9" s="86"/>
      <c r="AA9" s="86"/>
      <c r="AB9" s="86"/>
      <c r="AC9" s="86"/>
      <c r="AD9" s="86"/>
      <c r="AE9" s="86"/>
      <c r="AF9" s="87"/>
    </row>
    <row r="10" spans="1:32" x14ac:dyDescent="0.25">
      <c r="A10" s="45">
        <v>7</v>
      </c>
      <c r="B10" s="43" t="s">
        <v>478</v>
      </c>
      <c r="C10" s="64"/>
      <c r="D10" s="66"/>
      <c r="E10" s="62"/>
      <c r="F10" s="66"/>
      <c r="G10" s="45" t="s">
        <v>486</v>
      </c>
      <c r="H10" s="45" t="s">
        <v>28</v>
      </c>
      <c r="I10" s="45"/>
      <c r="J10" s="37"/>
      <c r="K10" s="37"/>
      <c r="L10" s="37"/>
      <c r="M10" s="37"/>
      <c r="N10" s="37"/>
      <c r="O10" s="37"/>
      <c r="P10" s="37"/>
      <c r="Q10" s="37"/>
      <c r="R10" s="37"/>
      <c r="S10" s="37"/>
      <c r="T10" s="37"/>
      <c r="U10" s="91"/>
      <c r="V10" s="92"/>
      <c r="W10" s="92"/>
      <c r="X10" s="92"/>
      <c r="Y10" s="92"/>
      <c r="Z10" s="92"/>
      <c r="AA10" s="92"/>
      <c r="AB10" s="92"/>
      <c r="AC10" s="92"/>
      <c r="AD10" s="92"/>
      <c r="AE10" s="92"/>
      <c r="AF10" s="93"/>
    </row>
    <row r="11" spans="1:32" x14ac:dyDescent="0.25">
      <c r="A11" s="45">
        <v>8</v>
      </c>
      <c r="B11" s="43" t="s">
        <v>465</v>
      </c>
      <c r="C11" s="43"/>
      <c r="D11" s="45"/>
      <c r="E11" s="44"/>
      <c r="F11" s="45"/>
      <c r="G11" s="45" t="s">
        <v>466</v>
      </c>
      <c r="H11" s="45" t="s">
        <v>13</v>
      </c>
      <c r="I11" s="45"/>
      <c r="J11" s="37">
        <v>45706</v>
      </c>
      <c r="K11" s="37"/>
      <c r="L11" s="37"/>
      <c r="M11" s="37"/>
      <c r="N11" s="37"/>
      <c r="O11" s="37"/>
      <c r="P11" s="37"/>
      <c r="Q11" s="37"/>
      <c r="R11" s="37"/>
      <c r="S11" s="37"/>
      <c r="T11" s="37"/>
      <c r="U11" s="85"/>
      <c r="V11" s="86"/>
      <c r="W11" s="86"/>
      <c r="X11" s="86"/>
      <c r="Y11" s="86"/>
      <c r="Z11" s="86"/>
      <c r="AA11" s="86"/>
      <c r="AB11" s="86"/>
      <c r="AC11" s="86"/>
      <c r="AD11" s="86"/>
      <c r="AE11" s="86"/>
      <c r="AF11" s="87"/>
    </row>
    <row r="12" spans="1:32" x14ac:dyDescent="0.25">
      <c r="A12" s="25">
        <v>9</v>
      </c>
      <c r="B12" s="28" t="s">
        <v>467</v>
      </c>
      <c r="C12" s="63"/>
      <c r="D12" s="25" t="s">
        <v>468</v>
      </c>
      <c r="E12" s="35" t="s">
        <v>469</v>
      </c>
      <c r="F12" s="26"/>
      <c r="G12" s="25" t="s">
        <v>470</v>
      </c>
      <c r="H12" s="25" t="s">
        <v>22</v>
      </c>
      <c r="I12" s="25"/>
      <c r="J12" s="34">
        <v>45706</v>
      </c>
      <c r="K12" s="34"/>
      <c r="L12" s="34"/>
      <c r="M12" s="34"/>
      <c r="N12" s="34"/>
      <c r="O12" s="34"/>
      <c r="P12" s="34"/>
      <c r="Q12" s="34">
        <v>45909</v>
      </c>
      <c r="R12" s="34"/>
      <c r="S12" s="34"/>
      <c r="T12" s="34"/>
      <c r="U12" s="91"/>
      <c r="V12" s="92"/>
      <c r="W12" s="92"/>
      <c r="X12" s="92"/>
      <c r="Y12" s="92"/>
      <c r="Z12" s="92"/>
      <c r="AA12" s="92"/>
      <c r="AB12" s="92"/>
      <c r="AC12" s="92"/>
      <c r="AD12" s="92"/>
      <c r="AE12" s="92"/>
      <c r="AF12" s="93"/>
    </row>
    <row r="13" spans="1:32" ht="90" x14ac:dyDescent="0.25">
      <c r="A13" s="40">
        <v>10</v>
      </c>
      <c r="B13" s="38" t="s">
        <v>480</v>
      </c>
      <c r="C13" s="65"/>
      <c r="D13" s="40" t="s">
        <v>556</v>
      </c>
      <c r="E13" s="72" t="s">
        <v>554</v>
      </c>
      <c r="F13" s="40"/>
      <c r="G13" s="40" t="s">
        <v>485</v>
      </c>
      <c r="H13" s="45" t="s">
        <v>28</v>
      </c>
      <c r="I13" s="40"/>
      <c r="J13" s="41"/>
      <c r="K13" s="41"/>
      <c r="L13" s="41"/>
      <c r="M13" s="41"/>
      <c r="N13" s="41"/>
      <c r="O13" s="41"/>
      <c r="P13" s="41"/>
      <c r="Q13" s="41"/>
      <c r="R13" s="41">
        <v>45931</v>
      </c>
      <c r="S13" s="41"/>
      <c r="T13" s="41"/>
      <c r="U13" s="91"/>
      <c r="V13" s="92"/>
      <c r="W13" s="92"/>
      <c r="X13" s="92"/>
      <c r="Y13" s="92"/>
      <c r="Z13" s="92"/>
      <c r="AA13" s="92"/>
      <c r="AB13" s="92"/>
      <c r="AC13" s="92"/>
      <c r="AD13" s="92"/>
      <c r="AE13" s="92"/>
      <c r="AF13" s="93"/>
    </row>
    <row r="14" spans="1:32" ht="90" x14ac:dyDescent="0.25">
      <c r="A14" s="40">
        <v>11</v>
      </c>
      <c r="B14" s="38" t="s">
        <v>481</v>
      </c>
      <c r="C14" s="65"/>
      <c r="D14" s="40" t="s">
        <v>556</v>
      </c>
      <c r="E14" s="72" t="s">
        <v>555</v>
      </c>
      <c r="F14" s="40"/>
      <c r="G14" s="40" t="s">
        <v>490</v>
      </c>
      <c r="H14" s="45" t="s">
        <v>28</v>
      </c>
      <c r="I14" s="40"/>
      <c r="J14" s="41"/>
      <c r="K14" s="41"/>
      <c r="L14" s="41"/>
      <c r="M14" s="41"/>
      <c r="N14" s="41"/>
      <c r="O14" s="41"/>
      <c r="P14" s="41"/>
      <c r="Q14" s="41"/>
      <c r="R14" s="41">
        <v>45931</v>
      </c>
      <c r="S14" s="41"/>
      <c r="T14" s="41"/>
      <c r="U14" s="91"/>
      <c r="V14" s="92"/>
      <c r="W14" s="92"/>
      <c r="X14" s="92"/>
      <c r="Y14" s="92"/>
      <c r="Z14" s="92"/>
      <c r="AA14" s="92"/>
      <c r="AB14" s="92"/>
      <c r="AC14" s="92"/>
      <c r="AD14" s="92"/>
      <c r="AE14" s="92"/>
      <c r="AF14" s="93"/>
    </row>
    <row r="15" spans="1:32" x14ac:dyDescent="0.25">
      <c r="A15" s="25">
        <v>12</v>
      </c>
      <c r="B15" s="28" t="s">
        <v>448</v>
      </c>
      <c r="C15" s="28"/>
      <c r="D15" s="25" t="s">
        <v>450</v>
      </c>
      <c r="E15" s="35" t="s">
        <v>449</v>
      </c>
      <c r="F15" s="25"/>
      <c r="G15" s="25" t="s">
        <v>457</v>
      </c>
      <c r="H15" s="25" t="s">
        <v>22</v>
      </c>
      <c r="I15" s="25"/>
      <c r="J15" s="34">
        <v>45707</v>
      </c>
      <c r="K15" s="34"/>
      <c r="L15" s="34"/>
      <c r="M15" s="34"/>
      <c r="N15" s="34"/>
      <c r="O15" s="34"/>
      <c r="P15" s="34"/>
      <c r="Q15" s="34">
        <v>45909</v>
      </c>
      <c r="R15" s="34"/>
      <c r="S15" s="34"/>
      <c r="T15" s="34"/>
      <c r="U15" s="85"/>
      <c r="V15" s="86"/>
      <c r="W15" s="86"/>
      <c r="X15" s="86"/>
      <c r="Y15" s="86"/>
      <c r="Z15" s="86"/>
      <c r="AA15" s="86"/>
      <c r="AB15" s="86"/>
      <c r="AC15" s="86"/>
      <c r="AD15" s="86"/>
      <c r="AE15" s="86"/>
      <c r="AF15" s="87"/>
    </row>
    <row r="16" spans="1:32" ht="409.5" x14ac:dyDescent="0.25">
      <c r="A16" s="25">
        <v>13</v>
      </c>
      <c r="B16" s="69" t="s">
        <v>458</v>
      </c>
      <c r="C16" s="73" t="s">
        <v>461</v>
      </c>
      <c r="D16" s="25" t="s">
        <v>459</v>
      </c>
      <c r="E16" s="35" t="s">
        <v>553</v>
      </c>
      <c r="F16" s="26"/>
      <c r="G16" s="25" t="s">
        <v>460</v>
      </c>
      <c r="H16" s="25" t="s">
        <v>28</v>
      </c>
      <c r="I16" s="25"/>
      <c r="J16" s="34">
        <v>45706</v>
      </c>
      <c r="K16" s="34"/>
      <c r="L16" s="34"/>
      <c r="M16" s="34"/>
      <c r="N16" s="34"/>
      <c r="O16" s="34"/>
      <c r="P16" s="34"/>
      <c r="Q16" s="70" t="s">
        <v>552</v>
      </c>
      <c r="R16" s="34"/>
      <c r="S16" s="34"/>
      <c r="T16" s="34"/>
      <c r="U16" s="85"/>
      <c r="V16" s="86"/>
      <c r="W16" s="86"/>
      <c r="X16" s="86"/>
      <c r="Y16" s="86"/>
      <c r="Z16" s="86"/>
      <c r="AA16" s="86"/>
      <c r="AB16" s="86"/>
      <c r="AC16" s="86"/>
      <c r="AD16" s="86"/>
      <c r="AE16" s="86"/>
      <c r="AF16" s="87"/>
    </row>
    <row r="17" spans="1:32" x14ac:dyDescent="0.25">
      <c r="A17" s="25">
        <v>14</v>
      </c>
      <c r="B17" s="28" t="s">
        <v>447</v>
      </c>
      <c r="C17" s="63"/>
      <c r="D17" s="25" t="s">
        <v>468</v>
      </c>
      <c r="E17" s="35" t="s">
        <v>487</v>
      </c>
      <c r="F17" s="26"/>
      <c r="G17" s="25" t="s">
        <v>455</v>
      </c>
      <c r="H17" s="25" t="s">
        <v>28</v>
      </c>
      <c r="I17" s="25"/>
      <c r="J17" s="34">
        <v>45706</v>
      </c>
      <c r="K17" s="34"/>
      <c r="L17" s="34"/>
      <c r="M17" s="34"/>
      <c r="N17" s="34"/>
      <c r="O17" s="34"/>
      <c r="P17" s="34"/>
      <c r="Q17" s="34">
        <v>45909</v>
      </c>
      <c r="R17" s="34"/>
      <c r="S17" s="34"/>
      <c r="T17" s="34"/>
      <c r="U17" s="85"/>
      <c r="V17" s="86"/>
      <c r="W17" s="86"/>
      <c r="X17" s="86"/>
      <c r="Y17" s="86"/>
      <c r="Z17" s="86"/>
      <c r="AA17" s="86"/>
      <c r="AB17" s="86"/>
      <c r="AC17" s="86"/>
      <c r="AD17" s="86"/>
      <c r="AE17" s="86"/>
      <c r="AF17" s="87"/>
    </row>
    <row r="18" spans="1:32" x14ac:dyDescent="0.25">
      <c r="A18" s="25">
        <v>15</v>
      </c>
      <c r="B18" s="69" t="s">
        <v>482</v>
      </c>
      <c r="C18" s="28" t="s">
        <v>497</v>
      </c>
      <c r="D18" s="25" t="s">
        <v>459</v>
      </c>
      <c r="E18" s="24" t="s">
        <v>496</v>
      </c>
      <c r="F18" s="25"/>
      <c r="G18" s="25" t="s">
        <v>495</v>
      </c>
      <c r="H18" s="25" t="s">
        <v>13</v>
      </c>
      <c r="I18" s="25"/>
      <c r="J18" s="34">
        <v>45707</v>
      </c>
      <c r="K18" s="34"/>
      <c r="L18" s="34"/>
      <c r="M18" s="34"/>
      <c r="N18" s="34"/>
      <c r="O18" s="34"/>
      <c r="P18" s="34"/>
      <c r="Q18" s="70" t="s">
        <v>552</v>
      </c>
      <c r="R18" s="34"/>
      <c r="S18" s="34"/>
      <c r="T18" s="34"/>
      <c r="U18" s="85"/>
      <c r="V18" s="86"/>
      <c r="W18" s="86"/>
      <c r="X18" s="86"/>
      <c r="Y18" s="86"/>
      <c r="Z18" s="86"/>
      <c r="AA18" s="86"/>
      <c r="AB18" s="86"/>
      <c r="AC18" s="86"/>
      <c r="AD18" s="86"/>
      <c r="AE18" s="86"/>
      <c r="AF18" s="87"/>
    </row>
    <row r="19" spans="1:32" x14ac:dyDescent="0.25">
      <c r="A19" s="25">
        <v>16</v>
      </c>
      <c r="B19" s="28" t="s">
        <v>471</v>
      </c>
      <c r="C19" s="28" t="s">
        <v>494</v>
      </c>
      <c r="D19" s="25" t="s">
        <v>459</v>
      </c>
      <c r="E19" s="35" t="s">
        <v>493</v>
      </c>
      <c r="F19" s="26"/>
      <c r="G19" s="25" t="s">
        <v>477</v>
      </c>
      <c r="H19" s="25" t="s">
        <v>28</v>
      </c>
      <c r="I19" s="25"/>
      <c r="J19" s="34">
        <v>45707</v>
      </c>
      <c r="K19" s="34"/>
      <c r="L19" s="34"/>
      <c r="M19" s="34"/>
      <c r="N19" s="34"/>
      <c r="O19" s="34"/>
      <c r="P19" s="34"/>
      <c r="Q19" s="34">
        <v>45909</v>
      </c>
      <c r="R19" s="34"/>
      <c r="S19" s="34"/>
      <c r="T19" s="34"/>
      <c r="U19" s="85"/>
      <c r="V19" s="86"/>
      <c r="W19" s="86"/>
      <c r="X19" s="86"/>
      <c r="Y19" s="86"/>
      <c r="Z19" s="86"/>
      <c r="AA19" s="86"/>
      <c r="AB19" s="86"/>
      <c r="AC19" s="86"/>
      <c r="AD19" s="86"/>
      <c r="AE19" s="86"/>
      <c r="AF19" s="87"/>
    </row>
    <row r="20" spans="1:32" x14ac:dyDescent="0.25">
      <c r="A20" s="25">
        <v>17</v>
      </c>
      <c r="B20" s="28" t="s">
        <v>370</v>
      </c>
      <c r="C20" s="28"/>
      <c r="D20" s="25" t="s">
        <v>468</v>
      </c>
      <c r="E20" s="35" t="s">
        <v>472</v>
      </c>
      <c r="F20" s="25"/>
      <c r="G20" s="25" t="s">
        <v>452</v>
      </c>
      <c r="H20" s="25" t="s">
        <v>28</v>
      </c>
      <c r="I20" s="25"/>
      <c r="J20" s="34">
        <v>45706</v>
      </c>
      <c r="K20" s="34"/>
      <c r="L20" s="34"/>
      <c r="M20" s="34"/>
      <c r="N20" s="34"/>
      <c r="O20" s="34"/>
      <c r="P20" s="34"/>
      <c r="Q20" s="34">
        <v>45909</v>
      </c>
      <c r="R20" s="34"/>
      <c r="S20" s="34"/>
      <c r="T20" s="34"/>
      <c r="U20" s="85"/>
      <c r="V20" s="86"/>
      <c r="W20" s="86"/>
      <c r="X20" s="86"/>
      <c r="Y20" s="86"/>
      <c r="Z20" s="86"/>
      <c r="AA20" s="86"/>
      <c r="AB20" s="86"/>
      <c r="AC20" s="86"/>
      <c r="AD20" s="86"/>
      <c r="AE20" s="86"/>
      <c r="AF20" s="87"/>
    </row>
    <row r="21" spans="1:32" x14ac:dyDescent="0.25">
      <c r="A21" s="25">
        <v>18</v>
      </c>
      <c r="B21" s="28" t="s">
        <v>367</v>
      </c>
      <c r="C21" s="28"/>
      <c r="D21" s="25" t="s">
        <v>468</v>
      </c>
      <c r="E21" s="35" t="s">
        <v>473</v>
      </c>
      <c r="F21" s="25"/>
      <c r="G21" s="25" t="s">
        <v>451</v>
      </c>
      <c r="H21" s="25" t="s">
        <v>28</v>
      </c>
      <c r="I21" s="25"/>
      <c r="J21" s="34">
        <v>45706</v>
      </c>
      <c r="K21" s="34"/>
      <c r="L21" s="34"/>
      <c r="M21" s="34"/>
      <c r="N21" s="34"/>
      <c r="O21" s="34"/>
      <c r="P21" s="34"/>
      <c r="Q21" s="34">
        <v>45909</v>
      </c>
      <c r="R21" s="34"/>
      <c r="S21" s="34"/>
      <c r="T21" s="34"/>
      <c r="U21" s="88"/>
      <c r="V21" s="89"/>
      <c r="W21" s="89"/>
      <c r="X21" s="89"/>
      <c r="Y21" s="89"/>
      <c r="Z21" s="89"/>
      <c r="AA21" s="89"/>
      <c r="AB21" s="89"/>
      <c r="AC21" s="89"/>
      <c r="AD21" s="89"/>
      <c r="AE21" s="89"/>
      <c r="AF21" s="90"/>
    </row>
  </sheetData>
  <mergeCells count="28">
    <mergeCell ref="I2:T2"/>
    <mergeCell ref="A2:A3"/>
    <mergeCell ref="B2:B3"/>
    <mergeCell ref="G2:G3"/>
    <mergeCell ref="H2:H3"/>
    <mergeCell ref="C2:C3"/>
    <mergeCell ref="D2:D3"/>
    <mergeCell ref="E2:E3"/>
    <mergeCell ref="F2:F3"/>
    <mergeCell ref="U4:AF4"/>
    <mergeCell ref="U5:AF5"/>
    <mergeCell ref="U6:AF6"/>
    <mergeCell ref="U2:AF3"/>
    <mergeCell ref="U7:AF7"/>
    <mergeCell ref="U8:AF8"/>
    <mergeCell ref="U9:AF9"/>
    <mergeCell ref="U10:AF10"/>
    <mergeCell ref="U11:AF11"/>
    <mergeCell ref="U12:AF12"/>
    <mergeCell ref="U18:AF18"/>
    <mergeCell ref="U19:AF19"/>
    <mergeCell ref="U20:AF20"/>
    <mergeCell ref="U21:AF21"/>
    <mergeCell ref="U13:AF13"/>
    <mergeCell ref="U14:AF14"/>
    <mergeCell ref="U15:AF15"/>
    <mergeCell ref="U16:AF16"/>
    <mergeCell ref="U17:AF17"/>
  </mergeCells>
  <phoneticPr fontId="11" type="noConversion"/>
  <hyperlinks>
    <hyperlink ref="E8" r:id="rId1" xr:uid="{145636A9-8DB5-48BD-AA85-DDF636083206}"/>
    <hyperlink ref="E16" r:id="rId2" xr:uid="{C8803C38-F523-46C4-962D-E163375B5C79}"/>
    <hyperlink ref="E9" r:id="rId3" xr:uid="{CCF43989-B702-4B33-BE53-984AA5FCE0F1}"/>
    <hyperlink ref="E12" r:id="rId4" xr:uid="{134FC74B-CAB3-46CB-BB11-A3C2E6153E21}"/>
    <hyperlink ref="E15" r:id="rId5" xr:uid="{A8437A27-95E9-411E-AB83-FD18E5024803}"/>
    <hyperlink ref="E17" r:id="rId6" xr:uid="{850FDC45-B201-49C4-97B5-B59698321E28}"/>
    <hyperlink ref="E19" r:id="rId7" xr:uid="{1BE12BB9-386A-4353-93C8-9BE3FAA40C9B}"/>
    <hyperlink ref="E20" r:id="rId8" xr:uid="{CDABA9A0-5CEC-4C0F-971C-4BCFF5FE8679}"/>
    <hyperlink ref="E21" r:id="rId9" xr:uid="{763C8152-8288-48FC-9D9C-EF1ABCD14561}"/>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7D642-508F-406B-B05B-882B5932BCA4}">
  <dimension ref="A1:T6"/>
  <sheetViews>
    <sheetView showGridLines="0" zoomScale="80" zoomScaleNormal="80" workbookViewId="0">
      <selection activeCell="L9" sqref="L9"/>
    </sheetView>
  </sheetViews>
  <sheetFormatPr defaultColWidth="8.85546875" defaultRowHeight="15" x14ac:dyDescent="0.25"/>
  <cols>
    <col min="1" max="1" width="7.7109375" style="58" customWidth="1"/>
    <col min="2" max="2" width="10.42578125" style="58" bestFit="1" customWidth="1"/>
    <col min="3" max="3" width="12.85546875" style="58" bestFit="1" customWidth="1"/>
    <col min="4" max="4" width="16.42578125" style="58" bestFit="1" customWidth="1"/>
    <col min="5" max="8" width="16.42578125" style="58" customWidth="1"/>
    <col min="9" max="12" width="16.140625" style="58" bestFit="1" customWidth="1"/>
    <col min="13" max="13" width="6.7109375" style="58" bestFit="1" customWidth="1"/>
    <col min="14" max="14" width="16.140625" style="58" bestFit="1" customWidth="1"/>
    <col min="15" max="15" width="7.28515625" style="58" bestFit="1" customWidth="1"/>
    <col min="16" max="16" width="6.7109375" style="58" bestFit="1" customWidth="1"/>
    <col min="17" max="17" width="10.28515625" style="58" bestFit="1" customWidth="1"/>
    <col min="18" max="18" width="7.7109375" style="58" bestFit="1" customWidth="1"/>
    <col min="19" max="19" width="9.7109375" style="58" bestFit="1" customWidth="1"/>
    <col min="20" max="20" width="10.28515625" style="58" bestFit="1" customWidth="1"/>
    <col min="21" max="16384" width="8.85546875" style="58"/>
  </cols>
  <sheetData>
    <row r="1" spans="1:20" x14ac:dyDescent="0.25">
      <c r="A1" s="98" t="s">
        <v>535</v>
      </c>
      <c r="B1" s="98"/>
      <c r="C1" s="98"/>
      <c r="D1" s="98"/>
      <c r="E1" s="57" t="s">
        <v>536</v>
      </c>
      <c r="F1" s="57"/>
      <c r="G1" s="57"/>
      <c r="H1" s="57"/>
      <c r="I1" s="98" t="s">
        <v>540</v>
      </c>
      <c r="J1" s="98"/>
      <c r="K1" s="98"/>
      <c r="L1" s="98"/>
      <c r="M1" s="98"/>
      <c r="N1" s="98"/>
      <c r="O1" s="98"/>
      <c r="P1" s="98"/>
      <c r="Q1" s="98"/>
      <c r="R1" s="98"/>
      <c r="S1" s="98"/>
      <c r="T1" s="98"/>
    </row>
    <row r="2" spans="1:20" x14ac:dyDescent="0.25">
      <c r="A2" s="29" t="s">
        <v>189</v>
      </c>
      <c r="B2" s="29" t="s">
        <v>527</v>
      </c>
      <c r="C2" s="29" t="s">
        <v>528</v>
      </c>
      <c r="D2" s="29" t="s">
        <v>338</v>
      </c>
      <c r="E2" s="29" t="s">
        <v>537</v>
      </c>
      <c r="F2" s="29" t="s">
        <v>538</v>
      </c>
      <c r="G2" s="29" t="s">
        <v>539</v>
      </c>
      <c r="H2" s="29" t="s">
        <v>543</v>
      </c>
      <c r="I2" s="29" t="s">
        <v>359</v>
      </c>
      <c r="J2" s="29" t="s">
        <v>360</v>
      </c>
      <c r="K2" s="29" t="s">
        <v>361</v>
      </c>
      <c r="L2" s="29" t="s">
        <v>355</v>
      </c>
      <c r="M2" s="29" t="s">
        <v>356</v>
      </c>
      <c r="N2" s="29" t="s">
        <v>357</v>
      </c>
      <c r="O2" s="29" t="s">
        <v>362</v>
      </c>
      <c r="P2" s="29" t="s">
        <v>358</v>
      </c>
      <c r="Q2" s="29" t="s">
        <v>363</v>
      </c>
      <c r="R2" s="29" t="s">
        <v>364</v>
      </c>
      <c r="S2" s="29" t="s">
        <v>365</v>
      </c>
      <c r="T2" s="29" t="s">
        <v>366</v>
      </c>
    </row>
    <row r="3" spans="1:20" x14ac:dyDescent="0.25">
      <c r="A3" s="58">
        <v>1</v>
      </c>
      <c r="B3" s="58" t="s">
        <v>529</v>
      </c>
      <c r="C3" s="58" t="s">
        <v>529</v>
      </c>
      <c r="D3" s="58" t="s">
        <v>13</v>
      </c>
      <c r="E3" s="58" t="s">
        <v>541</v>
      </c>
      <c r="F3" s="58" t="s">
        <v>21</v>
      </c>
      <c r="G3" s="58" t="s">
        <v>21</v>
      </c>
      <c r="I3" s="58" t="s">
        <v>534</v>
      </c>
      <c r="J3" s="58" t="s">
        <v>534</v>
      </c>
      <c r="K3" s="58" t="s">
        <v>534</v>
      </c>
      <c r="L3" s="58" t="s">
        <v>534</v>
      </c>
      <c r="M3" s="59">
        <v>45784</v>
      </c>
      <c r="N3" s="58" t="s">
        <v>534</v>
      </c>
      <c r="O3" s="59">
        <v>45869</v>
      </c>
    </row>
    <row r="4" spans="1:20" x14ac:dyDescent="0.25">
      <c r="A4" s="58">
        <f>A3+1</f>
        <v>2</v>
      </c>
      <c r="B4" s="58" t="s">
        <v>530</v>
      </c>
      <c r="C4" s="58" t="s">
        <v>531</v>
      </c>
      <c r="D4" s="58" t="s">
        <v>13</v>
      </c>
      <c r="E4" s="58" t="s">
        <v>541</v>
      </c>
      <c r="F4" s="58" t="s">
        <v>21</v>
      </c>
      <c r="G4" s="58" t="s">
        <v>21</v>
      </c>
      <c r="I4" s="58" t="s">
        <v>534</v>
      </c>
      <c r="J4" s="58" t="s">
        <v>534</v>
      </c>
      <c r="K4" s="58" t="s">
        <v>534</v>
      </c>
      <c r="L4" s="58" t="s">
        <v>534</v>
      </c>
      <c r="M4" s="59">
        <v>45784</v>
      </c>
      <c r="N4" s="58" t="s">
        <v>534</v>
      </c>
      <c r="O4" s="59">
        <v>45869</v>
      </c>
    </row>
    <row r="5" spans="1:20" x14ac:dyDescent="0.25">
      <c r="A5" s="58">
        <f t="shared" ref="A5:A6" si="0">A4+1</f>
        <v>3</v>
      </c>
      <c r="B5" s="58" t="s">
        <v>530</v>
      </c>
      <c r="C5" s="58" t="s">
        <v>532</v>
      </c>
      <c r="D5" s="58" t="s">
        <v>13</v>
      </c>
      <c r="E5" s="58" t="s">
        <v>541</v>
      </c>
      <c r="F5" s="58" t="s">
        <v>21</v>
      </c>
      <c r="G5" s="58" t="s">
        <v>21</v>
      </c>
      <c r="I5" s="58" t="s">
        <v>534</v>
      </c>
      <c r="J5" s="58" t="s">
        <v>534</v>
      </c>
      <c r="K5" s="58" t="s">
        <v>534</v>
      </c>
      <c r="L5" s="58" t="s">
        <v>534</v>
      </c>
      <c r="M5" s="59">
        <v>45784</v>
      </c>
      <c r="N5" s="58" t="s">
        <v>534</v>
      </c>
      <c r="O5" s="59">
        <v>45869</v>
      </c>
    </row>
    <row r="6" spans="1:20" x14ac:dyDescent="0.25">
      <c r="A6" s="58">
        <f t="shared" si="0"/>
        <v>4</v>
      </c>
      <c r="B6" s="58" t="s">
        <v>530</v>
      </c>
      <c r="C6" s="58" t="s">
        <v>533</v>
      </c>
      <c r="D6" s="58" t="s">
        <v>22</v>
      </c>
      <c r="E6" s="58" t="s">
        <v>541</v>
      </c>
      <c r="F6" s="58" t="s">
        <v>21</v>
      </c>
      <c r="G6" s="58" t="s">
        <v>21</v>
      </c>
      <c r="I6" s="58" t="s">
        <v>534</v>
      </c>
      <c r="J6" s="58" t="s">
        <v>534</v>
      </c>
      <c r="K6" s="58" t="s">
        <v>534</v>
      </c>
      <c r="L6" s="58" t="s">
        <v>534</v>
      </c>
      <c r="M6" s="59">
        <v>45784</v>
      </c>
      <c r="N6" s="58" t="s">
        <v>534</v>
      </c>
      <c r="O6" s="59">
        <v>45869</v>
      </c>
    </row>
  </sheetData>
  <mergeCells count="3">
    <mergeCell ref="I1:T1"/>
    <mergeCell ref="A1:B1"/>
    <mergeCell ref="C1:D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Datasets currently on Metabase</vt:lpstr>
      <vt:lpstr>Economy GR</vt:lpstr>
      <vt:lpstr>Economy Cy</vt:lpstr>
      <vt:lpstr>Workflow</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Stelios Constantinou</dc:creator>
  <cp:keywords/>
  <dc:description/>
  <cp:lastModifiedBy>Catalin Faur</cp:lastModifiedBy>
  <cp:revision/>
  <dcterms:created xsi:type="dcterms:W3CDTF">2024-01-16T08:21:09Z</dcterms:created>
  <dcterms:modified xsi:type="dcterms:W3CDTF">2026-01-02T20:05:34Z</dcterms:modified>
  <cp:category/>
  <cp:contentStatus/>
</cp:coreProperties>
</file>